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_E_CONTROLE" sheetId="1" state="visible" r:id="rId1"/>
    <sheet name="LEIA_ME" sheetId="2" state="visible" r:id="rId2"/>
    <sheet name="CADASTROS" sheetId="3" state="visible" r:id="rId3"/>
    <sheet name="SERVICOS_POR_ORGAO" sheetId="4" state="visible" r:id="rId4"/>
    <sheet name="INMS_BASE" sheetId="5" state="visible" r:id="rId5"/>
    <sheet name="ATENDIMENTO_N1" sheetId="6" state="visible" r:id="rId6"/>
    <sheet name="MONITORAMENTO_NOC_SOC" sheetId="7" state="visible" r:id="rId7"/>
    <sheet name="ATENDIMENTO_N2" sheetId="8" state="visible" r:id="rId8"/>
    <sheet name="OPERACAO_N3" sheetId="9" state="visible" r:id="rId9"/>
    <sheet name="EVIDENCIAS" sheetId="10" state="visible" r:id="rId10"/>
    <sheet name="GLOSAS" sheetId="11" state="visible" r:id="rId11"/>
    <sheet name="CALCULO_PAGAMENTO" sheetId="12" state="visible" r:id="rId12"/>
    <sheet name="CHECKLIST_FISCAL" sheetId="13" state="visible" r:id="rId13"/>
    <sheet name="RELATORIO_FISCAL" sheetId="14" state="visible" r:id="rId14"/>
    <sheet name="PAINEL_GERENCIAL" sheetId="15" state="visible" r:id="rId15"/>
    <sheet name="HISTORICO" sheetId="16" state="visible" r:id="rId16"/>
    <sheet name="FONTES_E_PREMISSA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;R$ (#,##0.00);-"/>
    <numFmt numFmtId="165" formatCode="#,##0;#,##0;-"/>
    <numFmt numFmtId="166" formatCode="0.00;0.00;-"/>
    <numFmt numFmtId="167" formatCode="#,##0.0;#,##0.0;-"/>
    <numFmt numFmtId="168" formatCode="0.0000;0.0000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sz val="12"/>
    </font>
    <font>
      <name val="Arial"/>
      <i val="1"/>
      <color rgb="00C00000"/>
      <sz val="9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right" vertical="top"/>
    </xf>
    <xf numFmtId="165" fontId="7" fillId="0" borderId="1" applyAlignment="1" pivotButton="0" quotePrefix="0" xfId="0">
      <alignment horizontal="right" vertical="top"/>
    </xf>
    <xf numFmtId="166" fontId="7" fillId="0" borderId="1" applyAlignment="1" pivotButton="0" quotePrefix="0" xfId="0">
      <alignment horizontal="right" vertical="top"/>
    </xf>
    <xf numFmtId="167" fontId="7" fillId="0" borderId="1" applyAlignment="1" pivotButton="0" quotePrefix="0" xfId="0">
      <alignment horizontal="right" vertical="top"/>
    </xf>
    <xf numFmtId="0" fontId="7" fillId="3" borderId="1" applyAlignment="1" pivotButton="0" quotePrefix="0" xfId="0">
      <alignment horizontal="left" vertical="top" wrapText="1"/>
    </xf>
    <xf numFmtId="166" fontId="7" fillId="0" borderId="1" applyAlignment="1" pivotButton="0" quotePrefix="0" xfId="0">
      <alignment horizontal="center" vertical="top" wrapText="1"/>
    </xf>
    <xf numFmtId="168" fontId="7" fillId="0" borderId="1" applyAlignment="1" pivotButton="0" quotePrefix="0" xfId="0">
      <alignment horizontal="right" vertical="top"/>
    </xf>
    <xf numFmtId="164" fontId="7" fillId="0" borderId="1" applyAlignment="1" pivotButton="0" quotePrefix="0" xfId="0">
      <alignment horizontal="right" vertical="top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7" fillId="3" borderId="0" pivotButton="0" quotePrefix="0" xfId="0"/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left" vertical="top" wrapText="1"/>
    </xf>
    <xf numFmtId="0" fontId="7" fillId="4" borderId="0" pivotButton="0" quotePrefix="0" xfId="0"/>
    <xf numFmtId="0" fontId="3" fillId="5" borderId="0" applyAlignment="1" pivotButton="0" quotePrefix="0" xfId="0">
      <alignment horizontal="left" vertical="top" wrapText="1"/>
    </xf>
    <xf numFmtId="0" fontId="7" fillId="5" borderId="0" pivotButton="0" quotePrefix="0" xfId="0"/>
    <xf numFmtId="0" fontId="7" fillId="0" borderId="1" pivotButton="0" quotePrefix="0" xfId="0"/>
    <xf numFmtId="165" fontId="7" fillId="0" borderId="0" applyAlignment="1" pivotButton="0" quotePrefix="0" xfId="0">
      <alignment horizontal="right" vertical="top"/>
    </xf>
    <xf numFmtId="9" fontId="7" fillId="0" borderId="0" applyAlignment="1" pivotButton="0" quotePrefix="0" xfId="0">
      <alignment horizontal="right" vertical="top"/>
    </xf>
    <xf numFmtId="0" fontId="2" fillId="0" borderId="1" applyAlignment="1" pivotButton="0" quotePrefix="0" xfId="0">
      <alignment horizontal="left" vertical="top" wrapText="1"/>
    </xf>
    <xf numFmtId="9" fontId="7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164" fontId="7" fillId="0" borderId="2" applyAlignment="1" pivotButton="0" quotePrefix="0" xfId="0">
      <alignment horizontal="right" vertical="top"/>
    </xf>
    <xf numFmtId="0" fontId="7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Resultados INMS vs Meta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'PAINEL_GERENCIAL'!B25</f>
            </strRef>
          </tx>
          <spPr>
            <a:ln>
              <a:prstDash val="solid"/>
            </a:ln>
          </spPr>
          <cat>
            <numRef>
              <f>'PAINEL_GERENCIAL'!$A$25:$A$38</f>
            </numRef>
          </cat>
          <val>
            <numRef>
              <f>'PAINEL_GERENCIAL'!$B$26:$B$38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MEMORIA DE CALCULO - AFERICAO INMS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Numero do Contrato</t>
        </is>
      </c>
      <c r="B3" s="4" t="inlineStr">
        <is>
          <t>40/2022</t>
        </is>
      </c>
      <c r="C3" s="2" t="n"/>
      <c r="D3" s="2" t="n"/>
      <c r="E3" s="2" t="n"/>
      <c r="F3" s="2" t="n"/>
    </row>
    <row r="4">
      <c r="A4" s="3" t="inlineStr">
        <is>
          <t>Processo SEI</t>
        </is>
      </c>
      <c r="B4" s="4" t="inlineStr">
        <is>
          <t>72031.010172/2020-97</t>
        </is>
      </c>
      <c r="C4" s="2" t="n"/>
      <c r="D4" s="2" t="n"/>
      <c r="E4" s="2" t="n"/>
      <c r="F4" s="2" t="n"/>
    </row>
    <row r="5">
      <c r="A5" s="3" t="inlineStr">
        <is>
          <t>Empresa Contratada</t>
        </is>
      </c>
      <c r="B5" s="4" t="inlineStr">
        <is>
          <t>CENTRAL IT TECNOLOGIA DA INFORMAÇÃO S/A</t>
        </is>
      </c>
      <c r="C5" s="2" t="n"/>
      <c r="D5" s="2" t="n"/>
      <c r="E5" s="2" t="n"/>
      <c r="F5" s="2" t="n"/>
    </row>
    <row r="6">
      <c r="A6" s="3" t="inlineStr">
        <is>
          <t>CNPJ da Contratada</t>
        </is>
      </c>
      <c r="B6" s="4" t="inlineStr">
        <is>
          <t>07.171.299/0001-96</t>
        </is>
      </c>
      <c r="C6" s="2" t="n"/>
      <c r="D6" s="2" t="n"/>
      <c r="E6" s="2" t="n"/>
      <c r="F6" s="2" t="n"/>
    </row>
    <row r="7">
      <c r="A7" s="3" t="inlineStr">
        <is>
          <t>Orgao Contratante</t>
        </is>
      </c>
      <c r="B7" s="4" t="inlineStr">
        <is>
          <t>Ministério da Cultura</t>
        </is>
      </c>
      <c r="C7" s="2" t="n"/>
      <c r="D7" s="2" t="n"/>
      <c r="E7" s="2" t="n"/>
      <c r="F7" s="2" t="n"/>
    </row>
    <row r="8">
      <c r="A8" s="3" t="inlineStr">
        <is>
          <t>Objeto</t>
        </is>
      </c>
      <c r="B8" s="4" t="inlineStr">
        <is>
          <t>Operação de infraestrutura e atendimento a usuários de TIC</t>
        </is>
      </c>
      <c r="C8" s="2" t="n"/>
      <c r="D8" s="2" t="n"/>
      <c r="E8" s="2" t="n"/>
      <c r="F8" s="2" t="n"/>
    </row>
    <row r="9">
      <c r="A9" s="3" t="inlineStr">
        <is>
          <t>Vigencia</t>
        </is>
      </c>
      <c r="B9" s="4" t="inlineStr">
        <is>
          <t>09/12/2022 a 09/12/2026</t>
        </is>
      </c>
      <c r="C9" s="2" t="n"/>
      <c r="D9" s="2" t="n"/>
      <c r="E9" s="2" t="n"/>
      <c r="F9" s="2" t="n"/>
    </row>
    <row r="10">
      <c r="A10" s="3" t="inlineStr">
        <is>
          <t>Competencia</t>
        </is>
      </c>
      <c r="B10" s="4" t="inlineStr">
        <is>
          <t>Junho/2026</t>
        </is>
      </c>
      <c r="C10" s="2" t="n"/>
      <c r="D10" s="2" t="n"/>
      <c r="E10" s="2" t="n"/>
      <c r="F10" s="2" t="n"/>
    </row>
    <row r="11">
      <c r="A11" s="3" t="inlineStr">
        <is>
          <t>Periodo Inicial da Afericao</t>
        </is>
      </c>
      <c r="B11" s="4" t="inlineStr">
        <is>
          <t>01/06/2026</t>
        </is>
      </c>
      <c r="C11" s="2" t="n"/>
      <c r="D11" s="2" t="n"/>
      <c r="E11" s="2" t="n"/>
      <c r="F11" s="2" t="n"/>
    </row>
    <row r="12">
      <c r="A12" s="3" t="inlineStr">
        <is>
          <t>Periodo Final da Afericao</t>
        </is>
      </c>
      <c r="B12" s="4" t="inlineStr">
        <is>
          <t>30/06/2026</t>
        </is>
      </c>
      <c r="C12" s="2" t="n"/>
      <c r="D12" s="2" t="n"/>
      <c r="E12" s="2" t="n"/>
      <c r="F12" s="2" t="n"/>
    </row>
    <row r="13">
      <c r="A13" s="3" t="inlineStr">
        <is>
          <t>Numero da Ordem de Servico</t>
        </is>
      </c>
      <c r="B13" s="4" t="inlineStr">
        <is>
          <t>PREENCHER</t>
        </is>
      </c>
      <c r="C13" s="2" t="n"/>
      <c r="D13" s="2" t="n"/>
      <c r="E13" s="2" t="n"/>
      <c r="F13" s="2" t="n"/>
    </row>
    <row r="14">
      <c r="A14" s="3" t="inlineStr">
        <is>
          <t>Numero da Nota Fiscal</t>
        </is>
      </c>
      <c r="B14" s="4" t="inlineStr">
        <is>
          <t>PREENCHER</t>
        </is>
      </c>
      <c r="C14" s="2" t="n"/>
      <c r="D14" s="2" t="n"/>
      <c r="E14" s="2" t="n"/>
      <c r="F14" s="2" t="n"/>
    </row>
    <row r="15">
      <c r="A15" s="3" t="inlineStr">
        <is>
          <t>Data de Emissao da Nota Fiscal</t>
        </is>
      </c>
      <c r="B15" s="4" t="inlineStr">
        <is>
          <t>PREENCHER</t>
        </is>
      </c>
      <c r="C15" s="2" t="n"/>
      <c r="D15" s="2" t="n"/>
      <c r="E15" s="2" t="n"/>
      <c r="F15" s="2" t="n"/>
    </row>
    <row r="16">
      <c r="A16" s="3" t="inlineStr">
        <is>
          <t>Fiscal Tecnico</t>
        </is>
      </c>
      <c r="B16" s="4" t="inlineStr">
        <is>
          <t>Maria Aparecida Gomes</t>
        </is>
      </c>
      <c r="C16" s="2" t="n"/>
      <c r="D16" s="2" t="n"/>
      <c r="E16" s="2" t="n"/>
      <c r="F16" s="2" t="n"/>
    </row>
    <row r="17">
      <c r="A17" s="3" t="inlineStr">
        <is>
          <t>Fiscal Requisitante</t>
        </is>
      </c>
      <c r="B17" s="4" t="inlineStr">
        <is>
          <t>PREENCHER</t>
        </is>
      </c>
      <c r="C17" s="2" t="n"/>
      <c r="D17" s="2" t="n"/>
      <c r="E17" s="2" t="n"/>
      <c r="F17" s="2" t="n"/>
    </row>
    <row r="18">
      <c r="A18" s="3" t="inlineStr">
        <is>
          <t>Fiscal Administrativo</t>
        </is>
      </c>
      <c r="B18" s="4" t="inlineStr">
        <is>
          <t>PREENCHER</t>
        </is>
      </c>
      <c r="C18" s="2" t="n"/>
      <c r="D18" s="2" t="n"/>
      <c r="E18" s="2" t="n"/>
      <c r="F18" s="2" t="n"/>
    </row>
    <row r="19">
      <c r="A19" s="3" t="inlineStr">
        <is>
          <t>Gestor do Contrato</t>
        </is>
      </c>
      <c r="B19" s="4" t="inlineStr">
        <is>
          <t>PREENCHER</t>
        </is>
      </c>
      <c r="C19" s="2" t="n"/>
      <c r="D19" s="2" t="n"/>
      <c r="E19" s="2" t="n"/>
      <c r="F19" s="2" t="n"/>
    </row>
    <row r="20">
      <c r="A20" s="3" t="inlineStr">
        <is>
          <t>Valor Mensal Vigente</t>
        </is>
      </c>
      <c r="B20" s="5" t="n">
        <v>481534.8</v>
      </c>
      <c r="C20" s="2" t="n"/>
      <c r="D20" s="2" t="n"/>
      <c r="E20" s="2" t="n"/>
      <c r="F20" s="2" t="n"/>
    </row>
    <row r="21">
      <c r="A21" s="3" t="inlineStr">
        <is>
          <t>Valor Global Anual</t>
        </is>
      </c>
      <c r="B21" s="5" t="n">
        <v>5778417.64</v>
      </c>
      <c r="C21" s="2" t="n"/>
      <c r="D21" s="2" t="n"/>
      <c r="E21" s="2" t="n"/>
      <c r="F21" s="2" t="n"/>
    </row>
    <row r="22">
      <c r="A22" s="3" t="inlineStr">
        <is>
          <t>Responsavel</t>
        </is>
      </c>
      <c r="B22" s="4" t="inlineStr">
        <is>
          <t>Maria Aparecida Gomes</t>
        </is>
      </c>
      <c r="C22" s="2" t="n"/>
      <c r="D22" s="2" t="n"/>
      <c r="E22" s="2" t="n"/>
      <c r="F22" s="2" t="n"/>
    </row>
    <row r="23">
      <c r="A23" s="3" t="inlineStr">
        <is>
          <t>Status do Controle</t>
        </is>
      </c>
      <c r="B23" s="4" t="inlineStr">
        <is>
          <t>EM ANÁLISE</t>
        </is>
      </c>
      <c r="C23" s="2" t="n"/>
      <c r="D23" s="2" t="n"/>
      <c r="E23" s="2" t="n"/>
      <c r="F23" s="2" t="n"/>
    </row>
    <row r="24">
      <c r="A24" s="3" t="inlineStr">
        <is>
          <t>Idade dos Dados (dias)</t>
        </is>
      </c>
      <c r="B24" s="4" t="n">
        <v>49</v>
      </c>
      <c r="C24" s="2" t="n"/>
      <c r="D24" s="2" t="n"/>
      <c r="E24" s="2" t="n"/>
      <c r="F24" s="2" t="n"/>
    </row>
    <row r="25">
      <c r="A25" s="3" t="inlineStr">
        <is>
          <t>Versao da Planilha</t>
        </is>
      </c>
      <c r="B25" s="4" t="inlineStr">
        <is>
          <t>1.0</t>
        </is>
      </c>
      <c r="C25" s="2" t="n"/>
      <c r="D25" s="2" t="n"/>
      <c r="E25" s="2" t="n"/>
      <c r="F25" s="2" t="n"/>
    </row>
    <row r="26">
      <c r="A26" s="3" t="inlineStr">
        <is>
          <t>Data da Analise</t>
        </is>
      </c>
      <c r="B26" s="4" t="inlineStr">
        <is>
          <t>18/08/2026</t>
        </is>
      </c>
      <c r="C26" s="2" t="n"/>
      <c r="D26" s="2" t="n"/>
      <c r="E26" s="2" t="n"/>
      <c r="F26" s="2" t="n"/>
    </row>
    <row r="27">
      <c r="A27" s="3" t="inlineStr">
        <is>
          <t>Situacao Geral da Afericao</t>
        </is>
      </c>
      <c r="B27" s="4" t="inlineStr">
        <is>
          <t>Conforme com glosa</t>
        </is>
      </c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6" t="inlineStr">
        <is>
          <t>AVISOS DA GERACAO</t>
        </is>
      </c>
      <c r="B29" s="2" t="n"/>
      <c r="C29" s="2" t="n"/>
      <c r="D29" s="2" t="n"/>
      <c r="E29" s="2" t="n"/>
      <c r="F29" s="2" t="n"/>
    </row>
    <row r="30">
      <c r="A30" s="7" t="inlineStr">
        <is>
          <t>[ATENCAO] Equipe: fiscal requisitante ausente -&gt; PREENCHER.</t>
        </is>
      </c>
      <c r="B30" s="2" t="n"/>
      <c r="C30" s="2" t="n"/>
      <c r="D30" s="2" t="n"/>
      <c r="E30" s="2" t="n"/>
      <c r="F30" s="2" t="n"/>
    </row>
    <row r="31">
      <c r="A31" s="7" t="inlineStr">
        <is>
          <t>[ATENCAO] Equipe: fiscal administrativo ausente -&gt; PREENCHER.</t>
        </is>
      </c>
      <c r="B31" s="2" t="n"/>
      <c r="C31" s="2" t="n"/>
      <c r="D31" s="2" t="n"/>
      <c r="E31" s="2" t="n"/>
      <c r="F31" s="2" t="n"/>
    </row>
    <row r="32">
      <c r="A32" s="7" t="inlineStr">
        <is>
          <t>[ATENCAO] Equipe: gestor do contrato ausente -&gt; PREENCHER.</t>
        </is>
      </c>
      <c r="B32" s="2" t="n"/>
      <c r="C32" s="2" t="n"/>
      <c r="D32" s="2" t="n"/>
      <c r="E32" s="2" t="n"/>
      <c r="F32" s="2" t="n"/>
    </row>
    <row r="33">
      <c r="A33" s="7" t="inlineStr">
        <is>
          <t>[ATENCAO] Competência: nota fiscal ausente -&gt; PREENCHER.</t>
        </is>
      </c>
      <c r="B33" s="2" t="n"/>
      <c r="C33" s="2" t="n"/>
      <c r="D33" s="2" t="n"/>
      <c r="E33" s="2" t="n"/>
      <c r="F33" s="2" t="n"/>
    </row>
    <row r="34">
      <c r="A34" s="7" t="inlineStr">
        <is>
          <t>[ATENCAO] Competência: data de emissão da nota fiscal ausente -&gt; PREENCHER.</t>
        </is>
      </c>
      <c r="B34" s="2" t="n"/>
      <c r="C34" s="2" t="n"/>
      <c r="D34" s="2" t="n"/>
      <c r="E34" s="2" t="n"/>
      <c r="F34" s="2" t="n"/>
    </row>
    <row r="35">
      <c r="A35" s="7" t="inlineStr">
        <is>
          <t>[ATENCAO] Competência: ordem de serviço ausente -&gt; PREENCHER.</t>
        </is>
      </c>
      <c r="B35" s="2" t="n"/>
      <c r="C35" s="2" t="n"/>
      <c r="D35" s="2" t="n"/>
      <c r="E35" s="2" t="n"/>
      <c r="F35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45" customWidth="1" min="3" max="3"/>
    <col width="31" customWidth="1" min="4" max="4"/>
    <col width="9" customWidth="1" min="5" max="5"/>
    <col width="22" customWidth="1" min="6" max="6"/>
  </cols>
  <sheetData>
    <row r="1">
      <c r="A1" s="1" t="inlineStr">
        <is>
          <t>GUIA DE USO E CONTROLE DO RELATÓRIO</t>
        </is>
      </c>
      <c r="B1" s="2" t="n"/>
      <c r="C1" s="2" t="n"/>
      <c r="D1" s="2" t="n"/>
      <c r="E1" s="2" t="n"/>
      <c r="F1" s="2" t="n"/>
      <c r="I1" s="8" t="inlineStr">
        <is>
          <t>VERSÃO 1.0 | EM ANÁLISE</t>
        </is>
      </c>
    </row>
    <row r="2">
      <c r="A2" s="9" t="inlineStr">
        <is>
          <t>Contrato nº 40/2022 | Fiscalização técnica, aferição e memória de pagamento</t>
        </is>
      </c>
      <c r="B2" s="2" t="n"/>
      <c r="C2" s="2" t="n"/>
      <c r="D2" s="2" t="n"/>
      <c r="E2" s="2" t="n"/>
      <c r="F2" s="2" t="n"/>
      <c r="I2" s="10" t="inlineStr">
        <is>
          <t>Execução 18/08/2026 | Dados: 49 dias | Responsável: Maria Aparecida Gomes</t>
        </is>
      </c>
    </row>
    <row r="3">
      <c r="A3" s="9" t="inlineStr">
        <is>
          <t>Execução: 18/08/2026 | Idade dos dados: 49 dias | Versão: 1.0 | Responsável: Maria Aparecida Gomes | Status: EM ANÁLISE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6" t="inlineStr">
        <is>
          <t>FINALIDADE</t>
        </is>
      </c>
      <c r="B5" s="2" t="n"/>
      <c r="C5" s="2" t="n"/>
      <c r="D5" s="2" t="n"/>
      <c r="E5" s="2" t="n"/>
      <c r="F5" s="2" t="n"/>
    </row>
    <row r="6">
      <c r="A6" s="4" t="inlineStr">
        <is>
          <t>Este arquivo consolida indicadores de nível de serviço, evidências, glosas e o valor recomendado para pagamento da competência Junho/2026.</t>
        </is>
      </c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6" t="inlineStr">
        <is>
          <t>FLUXO RECOMENDADO</t>
        </is>
      </c>
      <c r="B8" s="2" t="n"/>
      <c r="C8" s="2" t="n"/>
      <c r="D8" s="2" t="n"/>
      <c r="E8" s="2" t="n"/>
      <c r="F8" s="2" t="n"/>
    </row>
    <row r="9">
      <c r="A9" s="11" t="n">
        <v>1</v>
      </c>
      <c r="B9" s="12" t="inlineStr">
        <is>
          <t>Atualize os campos de entrada</t>
        </is>
      </c>
      <c r="C9" s="12" t="inlineStr">
        <is>
          <t>Preencha células azuis e pendências destacadas, sem substituir fórmulas.</t>
        </is>
      </c>
      <c r="D9" s="2" t="n"/>
      <c r="E9" s="2" t="n"/>
      <c r="F9" s="2" t="n"/>
    </row>
    <row r="10">
      <c r="A10" s="11" t="n">
        <v>2</v>
      </c>
      <c r="B10" s="12" t="inlineStr">
        <is>
          <t>Conclua a segregação</t>
        </is>
      </c>
      <c r="C10" s="12" t="inlineStr">
        <is>
          <t>Registre quantitativos MinC e MTur ou justifique tecnicamente a classificação Compartilhado.</t>
        </is>
      </c>
      <c r="D10" s="2" t="n"/>
      <c r="E10" s="2" t="n"/>
      <c r="F10" s="2" t="n"/>
    </row>
    <row r="11">
      <c r="A11" s="11" t="n">
        <v>3</v>
      </c>
      <c r="B11" s="12" t="inlineStr">
        <is>
          <t>Vincule as evidências</t>
        </is>
      </c>
      <c r="C11" s="12" t="inlineStr">
        <is>
          <t>Preencha EVIDENCIAS e informe documento SEI/arquivo e suficiência.</t>
        </is>
      </c>
      <c r="D11" s="2" t="n"/>
      <c r="E11" s="2" t="n"/>
      <c r="F11" s="2" t="n"/>
    </row>
    <row r="12">
      <c r="A12" s="11" t="n">
        <v>4</v>
      </c>
      <c r="B12" s="12" t="inlineStr">
        <is>
          <t>Revise a aferição</t>
        </is>
      </c>
      <c r="C12" s="12" t="inlineStr">
        <is>
          <t>Confira INMS_BASE, metas, aplicabilidade, conformidade e pontos.</t>
        </is>
      </c>
      <c r="D12" s="2" t="n"/>
      <c r="E12" s="2" t="n"/>
      <c r="F12" s="2" t="n"/>
    </row>
    <row r="13">
      <c r="A13" s="11" t="n">
        <v>5</v>
      </c>
      <c r="B13" s="12" t="inlineStr">
        <is>
          <t>Valide glosas e pagamento</t>
        </is>
      </c>
      <c r="C13" s="12" t="inlineStr">
        <is>
          <t>Revise GLOSAS e CALCULO_PAGAMENTO antes do ateste.</t>
        </is>
      </c>
      <c r="D13" s="2" t="n"/>
      <c r="E13" s="2" t="n"/>
      <c r="F13" s="2" t="n"/>
    </row>
    <row r="14">
      <c r="A14" s="11" t="n">
        <v>6</v>
      </c>
      <c r="B14" s="12" t="inlineStr">
        <is>
          <t>Emita a conclusão</t>
        </is>
      </c>
      <c r="C14" s="12" t="inlineStr">
        <is>
          <t>Finalize CHECKLIST_FISCAL e RELATORIO_FISCAL.</t>
        </is>
      </c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6" t="inlineStr">
        <is>
          <t>LEGENDA</t>
        </is>
      </c>
      <c r="B17" s="2" t="n"/>
      <c r="C17" s="2" t="n"/>
      <c r="D17" s="2" t="n"/>
      <c r="E17" s="2" t="n"/>
      <c r="F17" s="2" t="n"/>
    </row>
    <row r="18">
      <c r="A18" s="4" t="inlineStr">
        <is>
          <t>Azul claro</t>
        </is>
      </c>
      <c r="B18" s="4" t="inlineStr">
        <is>
          <t>Entrada do fiscal</t>
        </is>
      </c>
      <c r="C18" s="4" t="inlineStr">
        <is>
          <t>Verde claro</t>
        </is>
      </c>
      <c r="D18" s="4" t="inlineStr">
        <is>
          <t>Dado importado ou vinculado</t>
        </is>
      </c>
      <c r="E18" s="4" t="inlineStr">
        <is>
          <t>Preto</t>
        </is>
      </c>
      <c r="F18" s="4" t="inlineStr">
        <is>
          <t>Fórmula ou cálculo</t>
        </is>
      </c>
    </row>
    <row r="19">
      <c r="A19" s="4" t="inlineStr">
        <is>
          <t>Laranja</t>
        </is>
      </c>
      <c r="B19" s="4" t="inlineStr">
        <is>
          <t>Revisão ou pendência</t>
        </is>
      </c>
      <c r="C19" s="4" t="inlineStr">
        <is>
          <t>Vermelho claro</t>
        </is>
      </c>
      <c r="D19" s="4" t="inlineStr">
        <is>
          <t>Erro ou não conformidade</t>
        </is>
      </c>
      <c r="E19" s="4" t="inlineStr">
        <is>
          <t>Roxo</t>
        </is>
      </c>
      <c r="F19" s="4" t="inlineStr">
        <is>
          <t>Controle ou regra</t>
        </is>
      </c>
    </row>
    <row r="20">
      <c r="A20" s="6" t="inlineStr">
        <is>
          <t>CONTROLES DE RISCO DO MODELO</t>
        </is>
      </c>
      <c r="B20" s="2" t="n"/>
      <c r="C20" s="2" t="n"/>
      <c r="D20" s="2" t="n"/>
      <c r="E20" s="2" t="n"/>
      <c r="F20" s="2" t="n"/>
    </row>
    <row r="21">
      <c r="A21" s="4" t="inlineStr">
        <is>
          <t>• Substituir o rateio inicial de 50%/50% por parâmetro oficial antes do ateste.</t>
        </is>
      </c>
      <c r="B21" s="2" t="n"/>
      <c r="C21" s="2" t="n"/>
      <c r="D21" s="2" t="n"/>
      <c r="E21" s="2" t="n"/>
      <c r="F21" s="2" t="n"/>
    </row>
    <row r="22">
      <c r="A22" s="4" t="inlineStr">
        <is>
          <t>• Não duplicar a incidência financeira entre linhas MinC, MTur e Consolidado/Compartilhado.</t>
        </is>
      </c>
      <c r="B22" s="2" t="n"/>
      <c r="C22" s="2" t="n"/>
      <c r="D22" s="2" t="n"/>
      <c r="E22" s="2" t="n"/>
      <c r="F22" s="2" t="n"/>
    </row>
    <row r="23">
      <c r="A23" s="4" t="inlineStr">
        <is>
          <t>• Manter rastreabilidade das evidências e justificativas de itens não aplicáveis ou pendentes.</t>
        </is>
      </c>
      <c r="B23" s="2" t="n"/>
      <c r="C23" s="2" t="n"/>
      <c r="D23" s="2" t="n"/>
      <c r="E23" s="2" t="n"/>
      <c r="F23" s="2" t="n"/>
    </row>
    <row r="24">
      <c r="A24" s="4" t="inlineStr">
        <is>
          <t>• Revisar os indicadores de disponibilidade (1.4, 1.5 e 1.14) aferidos por média consolidada e a glosa associada.</t>
        </is>
      </c>
      <c r="B24" s="2" t="n"/>
      <c r="C24" s="2" t="n"/>
      <c r="D24" s="2" t="n"/>
      <c r="E24" s="2" t="n"/>
      <c r="F2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11" customWidth="1" min="3" max="3"/>
    <col width="21" customWidth="1" min="4" max="4"/>
    <col width="17" customWidth="1" min="5" max="5"/>
    <col width="21" customWidth="1" min="6" max="6"/>
    <col width="9" customWidth="1" min="7" max="7"/>
    <col width="20" customWidth="1" min="8" max="8"/>
    <col width="45" customWidth="1" min="9" max="9"/>
    <col width="24" customWidth="1" min="10" max="10"/>
    <col width="45" customWidth="1" min="11" max="11"/>
  </cols>
  <sheetData>
    <row r="1">
      <c r="A1" s="1" t="inlineStr">
        <is>
          <t>CADASTROS - Parametros da Afericao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10" t="inlineStr">
        <is>
          <t>Execução 18/08/2026 | Dados: 49 dias | Responsável: Maria Aparecida Gomes</t>
        </is>
      </c>
    </row>
    <row r="3">
      <c r="A3" s="6" t="inlineStr">
        <is>
          <t>Orgaos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MinC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4" t="inlineStr">
        <is>
          <t>MTur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6" t="inlineStr">
        <is>
          <t>Contrato e Processo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3" t="inlineStr">
        <is>
          <t>Contrato</t>
        </is>
      </c>
      <c r="B8" s="4" t="inlineStr">
        <is>
          <t>40/2022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Processo SEI</t>
        </is>
      </c>
      <c r="B9" s="4" t="inlineStr">
        <is>
          <t>72031.010172/2020-97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3" t="inlineStr">
        <is>
          <t>Empresa</t>
        </is>
      </c>
      <c r="B10" s="4" t="inlineStr">
        <is>
          <t>CENTRAL IT TECNOLOGIA DA INFORMAÇÃO S/A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3" t="inlineStr">
        <is>
          <t>CNPJ</t>
        </is>
      </c>
      <c r="B11" s="4" t="inlineStr">
        <is>
          <t>07.171.299/0001-96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6" t="inlineStr">
        <is>
          <t>Servicos Contratuais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13" t="inlineStr">
        <is>
          <t>Item</t>
        </is>
      </c>
      <c r="B14" s="13" t="inlineStr">
        <is>
          <t>Descricao do Servico</t>
        </is>
      </c>
      <c r="C14" s="13" t="inlineStr">
        <is>
          <t>Unidade</t>
        </is>
      </c>
      <c r="D14" s="14" t="inlineStr">
        <is>
          <t>Quantidade Mensal</t>
        </is>
      </c>
      <c r="E14" s="13" t="inlineStr">
        <is>
          <t>Fonte</t>
        </is>
      </c>
      <c r="F14" s="2" t="n"/>
      <c r="G14" s="2" t="n"/>
      <c r="H14" s="2" t="n"/>
      <c r="I14" s="2" t="n"/>
      <c r="J14" s="2" t="n"/>
      <c r="K14" s="2" t="n"/>
    </row>
    <row r="15">
      <c r="A15" s="11" t="n">
        <v>1</v>
      </c>
      <c r="B15" s="12" t="inlineStr">
        <is>
          <t>Sustentação e melhoria contínua de Central de Serviços e Monitoramento</t>
        </is>
      </c>
      <c r="C15" s="11" t="inlineStr">
        <is>
          <t>VAL/MÊS</t>
        </is>
      </c>
      <c r="D15" s="15" t="n">
        <v>1</v>
      </c>
      <c r="E15" s="12" t="inlineStr">
        <is>
          <t>Contrato e TR</t>
        </is>
      </c>
      <c r="F15" s="2" t="n"/>
      <c r="G15" s="2" t="n"/>
      <c r="H15" s="2" t="n"/>
      <c r="I15" s="2" t="n"/>
      <c r="J15" s="2" t="n"/>
      <c r="K15" s="2" t="n"/>
    </row>
    <row r="16">
      <c r="A16" s="11" t="n">
        <v>2</v>
      </c>
      <c r="B16" s="12" t="inlineStr">
        <is>
          <t>Gerenciamento técnico das operações e projetos de sustentação e melhoria contínua de infraestrutura de TIC</t>
        </is>
      </c>
      <c r="C16" s="11" t="inlineStr">
        <is>
          <t>VAL/MÊS</t>
        </is>
      </c>
      <c r="D16" s="15" t="n">
        <v>1</v>
      </c>
      <c r="E16" s="12" t="inlineStr">
        <is>
          <t>Contrato e TR</t>
        </is>
      </c>
      <c r="F16" s="2" t="n"/>
      <c r="G16" s="2" t="n"/>
      <c r="H16" s="2" t="n"/>
      <c r="I16" s="2" t="n"/>
      <c r="J16" s="2" t="n"/>
      <c r="K16" s="2" t="n"/>
    </row>
    <row r="17">
      <c r="A17" s="11" t="n">
        <v>3</v>
      </c>
      <c r="B17" s="12" t="inlineStr">
        <is>
          <t>Sustentação e melhoria contínua de Banco de Dados</t>
        </is>
      </c>
      <c r="C17" s="11" t="inlineStr">
        <is>
          <t>VAL/MÊS</t>
        </is>
      </c>
      <c r="D17" s="15" t="n">
        <v>1</v>
      </c>
      <c r="E17" s="12" t="inlineStr">
        <is>
          <t>Contrato e TR</t>
        </is>
      </c>
      <c r="F17" s="2" t="n"/>
      <c r="G17" s="2" t="n"/>
      <c r="H17" s="2" t="n"/>
      <c r="I17" s="2" t="n"/>
      <c r="J17" s="2" t="n"/>
      <c r="K17" s="2" t="n"/>
    </row>
    <row r="18">
      <c r="A18" s="11" t="n">
        <v>4</v>
      </c>
      <c r="B18" s="12" t="inlineStr">
        <is>
          <t>Sustentação e melhoria contínua de Servidores de Aplicação, Virtualização e Computação em Nuvem</t>
        </is>
      </c>
      <c r="C18" s="11" t="inlineStr">
        <is>
          <t>VAL/MÊS</t>
        </is>
      </c>
      <c r="D18" s="15" t="n">
        <v>1</v>
      </c>
      <c r="E18" s="12" t="inlineStr">
        <is>
          <t>Contrato e TR</t>
        </is>
      </c>
      <c r="F18" s="2" t="n"/>
      <c r="G18" s="2" t="n"/>
      <c r="H18" s="2" t="n"/>
      <c r="I18" s="2" t="n"/>
      <c r="J18" s="2" t="n"/>
      <c r="K18" s="2" t="n"/>
    </row>
    <row r="19">
      <c r="A19" s="11" t="n">
        <v>5</v>
      </c>
      <c r="B19" s="12" t="inlineStr">
        <is>
          <t>Sustentação e melhoria contínua de Serviços Corporativos</t>
        </is>
      </c>
      <c r="C19" s="11" t="inlineStr">
        <is>
          <t>VAL/MÊS</t>
        </is>
      </c>
      <c r="D19" s="15" t="n">
        <v>1</v>
      </c>
      <c r="E19" s="12" t="inlineStr">
        <is>
          <t>Contrato e TR</t>
        </is>
      </c>
      <c r="F19" s="2" t="n"/>
      <c r="G19" s="2" t="n"/>
      <c r="H19" s="2" t="n"/>
      <c r="I19" s="2" t="n"/>
      <c r="J19" s="2" t="n"/>
      <c r="K19" s="2" t="n"/>
    </row>
    <row r="20">
      <c r="A20" s="11" t="n">
        <v>6</v>
      </c>
      <c r="B20" s="12" t="inlineStr">
        <is>
          <t>Sustentação e melhoria contínua de Armazenamento e Backup</t>
        </is>
      </c>
      <c r="C20" s="11" t="inlineStr">
        <is>
          <t>VAL/MÊS</t>
        </is>
      </c>
      <c r="D20" s="15" t="n">
        <v>1</v>
      </c>
      <c r="E20" s="12" t="inlineStr">
        <is>
          <t>Contrato e TR</t>
        </is>
      </c>
      <c r="F20" s="2" t="n"/>
      <c r="G20" s="2" t="n"/>
      <c r="H20" s="2" t="n"/>
      <c r="I20" s="2" t="n"/>
      <c r="J20" s="2" t="n"/>
      <c r="K20" s="2" t="n"/>
    </row>
    <row r="21">
      <c r="A21" s="11" t="n">
        <v>7</v>
      </c>
      <c r="B21" s="12" t="inlineStr">
        <is>
          <t>Sustentação e melhoria contínua de Redes</t>
        </is>
      </c>
      <c r="C21" s="11" t="inlineStr">
        <is>
          <t>VAL/MÊS</t>
        </is>
      </c>
      <c r="D21" s="15" t="n">
        <v>1</v>
      </c>
      <c r="E21" s="12" t="inlineStr">
        <is>
          <t>Contrato e TR</t>
        </is>
      </c>
      <c r="F21" s="2" t="n"/>
      <c r="G21" s="2" t="n"/>
      <c r="H21" s="2" t="n"/>
      <c r="I21" s="2" t="n"/>
      <c r="J21" s="2" t="n"/>
      <c r="K21" s="2" t="n"/>
    </row>
    <row r="22">
      <c r="A22" s="11" t="n">
        <v>8</v>
      </c>
      <c r="B22" s="12" t="inlineStr">
        <is>
          <t>Sustentação e melhoria contínua de Segurança da Informação</t>
        </is>
      </c>
      <c r="C22" s="11" t="inlineStr">
        <is>
          <t>VAL/MÊS</t>
        </is>
      </c>
      <c r="D22" s="15" t="n">
        <v>1</v>
      </c>
      <c r="E22" s="12" t="inlineStr">
        <is>
          <t>Contrato e TR</t>
        </is>
      </c>
      <c r="F22" s="2" t="n"/>
      <c r="G22" s="2" t="n"/>
      <c r="H22" s="2" t="n"/>
      <c r="I22" s="2" t="n"/>
      <c r="J22" s="2" t="n"/>
      <c r="K22" s="2" t="n"/>
    </row>
    <row r="23">
      <c r="A23" s="11" t="n">
        <v>9</v>
      </c>
      <c r="B23" s="12" t="inlineStr">
        <is>
          <t>Sustentação e melhoria contínua dos ambientes e processos DevOps</t>
        </is>
      </c>
      <c r="C23" s="11" t="inlineStr">
        <is>
          <t>VAL/MÊS</t>
        </is>
      </c>
      <c r="D23" s="15" t="n">
        <v>1</v>
      </c>
      <c r="E23" s="12" t="inlineStr">
        <is>
          <t>Contrato e TR</t>
        </is>
      </c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6" t="inlineStr">
        <is>
          <t>Indicadores INMS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13" t="inlineStr">
        <is>
          <t>Codigo</t>
        </is>
      </c>
      <c r="B26" s="13" t="inlineStr">
        <is>
          <t>Descricao</t>
        </is>
      </c>
      <c r="C26" s="14" t="inlineStr">
        <is>
          <t>Meta</t>
        </is>
      </c>
      <c r="D26" s="13" t="inlineStr">
        <is>
          <t>Sentido</t>
        </is>
      </c>
      <c r="E26" s="13" t="inlineStr">
        <is>
          <t>Periodicidade</t>
        </is>
      </c>
      <c r="F26" s="14" t="inlineStr">
        <is>
          <t>Base de Pontuacao</t>
        </is>
      </c>
      <c r="G26" s="14" t="inlineStr">
        <is>
          <t>Passo</t>
        </is>
      </c>
      <c r="H26" s="14" t="inlineStr">
        <is>
          <t>Pontos por Passo</t>
        </is>
      </c>
      <c r="I26" s="13" t="inlineStr">
        <is>
          <t>Formula de Medicao</t>
        </is>
      </c>
      <c r="J26" s="13" t="inlineStr">
        <is>
          <t>Fonte</t>
        </is>
      </c>
      <c r="K26" s="13" t="inlineStr">
        <is>
          <t>Observacao</t>
        </is>
      </c>
    </row>
    <row r="27">
      <c r="A27" s="11" t="inlineStr">
        <is>
          <t>1.1</t>
        </is>
      </c>
      <c r="B27" s="12" t="inlineStr">
        <is>
          <t>Incidentes atendidos dentro do prazo</t>
        </is>
      </c>
      <c r="C27" s="16" t="n">
        <v>98</v>
      </c>
      <c r="D27" s="11" t="inlineStr">
        <is>
          <t>&gt;=</t>
        </is>
      </c>
      <c r="E27" s="11" t="inlineStr">
        <is>
          <t>Mensal</t>
        </is>
      </c>
      <c r="F27" s="15" t="n">
        <v>165</v>
      </c>
      <c r="G27" s="17" t="n">
        <v>0.1</v>
      </c>
      <c r="H27" s="15" t="n">
        <v>20</v>
      </c>
      <c r="I27" s="12" t="inlineStr">
        <is>
          <t>Numerador / Denominador</t>
        </is>
      </c>
      <c r="J27" s="12" t="inlineStr">
        <is>
          <t>TR - Tabela 28</t>
        </is>
      </c>
      <c r="K27" s="12" t="inlineStr">
        <is>
          <t>165 pontos se abaixo da meta, mais 20 a cada 0,1 p.p.</t>
        </is>
      </c>
    </row>
    <row r="28">
      <c r="A28" s="11" t="inlineStr">
        <is>
          <t>1.2</t>
        </is>
      </c>
      <c r="B28" s="12" t="inlineStr">
        <is>
          <t>Requisições atendidas dentro do prazo</t>
        </is>
      </c>
      <c r="C28" s="16" t="n">
        <v>95</v>
      </c>
      <c r="D28" s="11" t="inlineStr">
        <is>
          <t>&gt;=</t>
        </is>
      </c>
      <c r="E28" s="11" t="inlineStr">
        <is>
          <t>Mensal</t>
        </is>
      </c>
      <c r="F28" s="15" t="n">
        <v>0</v>
      </c>
      <c r="G28" s="17" t="n">
        <v>0.1</v>
      </c>
      <c r="H28" s="15" t="n">
        <v>0</v>
      </c>
      <c r="I28" s="12" t="inlineStr">
        <is>
          <t>Numerador / Denominador</t>
        </is>
      </c>
      <c r="J28" s="12" t="inlineStr">
        <is>
          <t>TR - Tabela 28</t>
        </is>
      </c>
      <c r="K28" s="12" t="inlineStr">
        <is>
          <t>Padrão médio: 15 pontos/0,1 p.p.; ajustar por prioridade quando houver detalhamento.</t>
        </is>
      </c>
    </row>
    <row r="29">
      <c r="A29" s="11" t="inlineStr">
        <is>
          <t>1.3</t>
        </is>
      </c>
      <c r="B29" s="12" t="inlineStr">
        <is>
          <t>Projetos atendidos dentro do prazo</t>
        </is>
      </c>
      <c r="C29" s="16" t="n">
        <v>100</v>
      </c>
      <c r="D29" s="11" t="inlineStr">
        <is>
          <t>&gt;=</t>
        </is>
      </c>
      <c r="E29" s="11" t="inlineStr">
        <is>
          <t>Mensal</t>
        </is>
      </c>
      <c r="F29" s="15" t="n">
        <v>200</v>
      </c>
      <c r="G29" s="17" t="n">
        <v>1</v>
      </c>
      <c r="H29" s="15" t="n">
        <v>200</v>
      </c>
      <c r="I29" s="12" t="inlineStr">
        <is>
          <t>Dias definidos / (dias definidos + atraso)</t>
        </is>
      </c>
      <c r="J29" s="12" t="inlineStr">
        <is>
          <t>TR - Tabela 28</t>
        </is>
      </c>
      <c r="K29" s="12" t="inlineStr">
        <is>
          <t>Somente projetos encerrados no mês.</t>
        </is>
      </c>
    </row>
    <row r="30">
      <c r="A30" s="11" t="inlineStr">
        <is>
          <t>1.4</t>
        </is>
      </c>
      <c r="B30" s="12" t="inlineStr">
        <is>
          <t>Disponibilidade de sistema/serviço crítico</t>
        </is>
      </c>
      <c r="C30" s="16" t="n">
        <v>99.5</v>
      </c>
      <c r="D30" s="11" t="inlineStr">
        <is>
          <t>&gt;=</t>
        </is>
      </c>
      <c r="E30" s="11" t="inlineStr">
        <is>
          <t>Mensal</t>
        </is>
      </c>
      <c r="F30" s="15" t="n">
        <v>1000</v>
      </c>
      <c r="G30" s="17" t="n">
        <v>0.1</v>
      </c>
      <c r="H30" s="15" t="n">
        <v>1000</v>
      </c>
      <c r="I30" s="12" t="inlineStr">
        <is>
          <t>Horas disponíveis ajustadas / horas do período ajustadas</t>
        </is>
      </c>
      <c r="J30" s="12" t="inlineStr">
        <is>
          <t>TR - Tabela 28</t>
        </is>
      </c>
      <c r="K30" s="12" t="inlineStr">
        <is>
          <t>Meta aplicada por sistema/serviço.</t>
        </is>
      </c>
    </row>
    <row r="31">
      <c r="A31" s="11" t="inlineStr">
        <is>
          <t>1.5</t>
        </is>
      </c>
      <c r="B31" s="12" t="inlineStr">
        <is>
          <t>Disponibilidade de sistema/serviço não-crítico</t>
        </is>
      </c>
      <c r="C31" s="16" t="n">
        <v>99</v>
      </c>
      <c r="D31" s="11" t="inlineStr">
        <is>
          <t>&gt;=</t>
        </is>
      </c>
      <c r="E31" s="11" t="inlineStr">
        <is>
          <t>Mensal</t>
        </is>
      </c>
      <c r="F31" s="15" t="n">
        <v>250</v>
      </c>
      <c r="G31" s="17" t="n">
        <v>0.1</v>
      </c>
      <c r="H31" s="15" t="n">
        <v>250</v>
      </c>
      <c r="I31" s="12" t="inlineStr">
        <is>
          <t>Horas disponíveis ajustadas / horas do período ajustadas</t>
        </is>
      </c>
      <c r="J31" s="12" t="inlineStr">
        <is>
          <t>TR - Tabela 28</t>
        </is>
      </c>
      <c r="K31" s="12" t="inlineStr">
        <is>
          <t>Meta aplicada por sistema/serviço.</t>
        </is>
      </c>
    </row>
    <row r="32">
      <c r="A32" s="11" t="inlineStr">
        <is>
          <t>1.6</t>
        </is>
      </c>
      <c r="B32" s="12" t="inlineStr">
        <is>
          <t>Eficácia no tratamento de chamados</t>
        </is>
      </c>
      <c r="C32" s="16" t="n">
        <v>97</v>
      </c>
      <c r="D32" s="11" t="inlineStr">
        <is>
          <t>&gt;=</t>
        </is>
      </c>
      <c r="E32" s="11" t="inlineStr">
        <is>
          <t>Mensal</t>
        </is>
      </c>
      <c r="F32" s="15" t="n">
        <v>200</v>
      </c>
      <c r="G32" s="17" t="n">
        <v>0.5</v>
      </c>
      <c r="H32" s="15" t="n">
        <v>200</v>
      </c>
      <c r="I32" s="12" t="inlineStr">
        <is>
          <t>(Atendidos - reabertos) / atendidos</t>
        </is>
      </c>
      <c r="J32" s="12" t="inlineStr">
        <is>
          <t>TR - Tabela 28</t>
        </is>
      </c>
      <c r="K32" s="12" t="inlineStr"/>
    </row>
    <row r="33">
      <c r="A33" s="11" t="inlineStr">
        <is>
          <t>1.7</t>
        </is>
      </c>
      <c r="B33" s="12" t="inlineStr">
        <is>
          <t>Satisfação dos usuários</t>
        </is>
      </c>
      <c r="C33" s="16" t="n">
        <v>80</v>
      </c>
      <c r="D33" s="11" t="inlineStr">
        <is>
          <t>&gt;=</t>
        </is>
      </c>
      <c r="E33" s="11" t="inlineStr">
        <is>
          <t>Mensal</t>
        </is>
      </c>
      <c r="F33" s="15" t="n">
        <v>250</v>
      </c>
      <c r="G33" s="17" t="n">
        <v>1</v>
      </c>
      <c r="H33" s="15" t="n">
        <v>250</v>
      </c>
      <c r="I33" s="12" t="inlineStr">
        <is>
          <t>Avaliações positivas / avaliações totais</t>
        </is>
      </c>
      <c r="J33" s="12" t="inlineStr">
        <is>
          <t>TR - Tabela 28</t>
        </is>
      </c>
      <c r="K33" s="12" t="inlineStr"/>
    </row>
    <row r="34">
      <c r="A34" s="11" t="inlineStr">
        <is>
          <t>1.8</t>
        </is>
      </c>
      <c r="B34" s="12" t="inlineStr">
        <is>
          <t>Ocorrências de Desconformidade Técnica</t>
        </is>
      </c>
      <c r="C34" s="16" t="n">
        <v>0</v>
      </c>
      <c r="D34" s="11" t="inlineStr">
        <is>
          <t>&lt;=</t>
        </is>
      </c>
      <c r="E34" s="11" t="inlineStr">
        <is>
          <t>Mensal</t>
        </is>
      </c>
      <c r="F34" s="15" t="n">
        <v>0</v>
      </c>
      <c r="G34" s="17" t="n">
        <v>1</v>
      </c>
      <c r="H34" s="15" t="n">
        <v>0</v>
      </c>
      <c r="I34" s="12" t="inlineStr">
        <is>
          <t>Somatório de pontos do Anexo E</t>
        </is>
      </c>
      <c r="J34" s="12" t="inlineStr">
        <is>
          <t>TR - Tabelas 28 e 29</t>
        </is>
      </c>
      <c r="K34" s="12" t="inlineStr">
        <is>
          <t>Pontuação informada conforme ocorrência.</t>
        </is>
      </c>
    </row>
    <row r="35">
      <c r="A35" s="11" t="inlineStr">
        <is>
          <t>1.9</t>
        </is>
      </c>
      <c r="B35" s="12" t="inlineStr">
        <is>
          <t>Tempo médio de implementação de mudança</t>
        </is>
      </c>
      <c r="C35" s="16" t="n">
        <v>90</v>
      </c>
      <c r="D35" s="11" t="inlineStr">
        <is>
          <t>&gt;=</t>
        </is>
      </c>
      <c r="E35" s="11" t="inlineStr">
        <is>
          <t>Mensal</t>
        </is>
      </c>
      <c r="F35" s="15" t="n">
        <v>200</v>
      </c>
      <c r="G35" s="17" t="n">
        <v>1</v>
      </c>
      <c r="H35" s="15" t="n">
        <v>200</v>
      </c>
      <c r="I35" s="12" t="inlineStr">
        <is>
          <t>Mudanças no prazo / mudanças realizadas</t>
        </is>
      </c>
      <c r="J35" s="12" t="inlineStr">
        <is>
          <t>TR - Tabela 28</t>
        </is>
      </c>
      <c r="K35" s="12" t="inlineStr">
        <is>
          <t>Sem mudanças = não aplicável no período.</t>
        </is>
      </c>
    </row>
    <row r="36">
      <c r="A36" s="11" t="inlineStr">
        <is>
          <t>1.10</t>
        </is>
      </c>
      <c r="B36" s="12" t="inlineStr">
        <is>
          <t>Taxa de implantação de controles de segurança</t>
        </is>
      </c>
      <c r="C36" s="16" t="n">
        <v>100</v>
      </c>
      <c r="D36" s="11" t="inlineStr">
        <is>
          <t>&gt;=</t>
        </is>
      </c>
      <c r="E36" s="11" t="inlineStr">
        <is>
          <t>Mensal</t>
        </is>
      </c>
      <c r="F36" s="15" t="n">
        <v>1000</v>
      </c>
      <c r="G36" s="17" t="n">
        <v>1</v>
      </c>
      <c r="H36" s="15" t="n">
        <v>1000</v>
      </c>
      <c r="I36" s="12" t="inlineStr">
        <is>
          <t>Controles implantados / controles recomendados</t>
        </is>
      </c>
      <c r="J36" s="12" t="inlineStr">
        <is>
          <t>TR - Tabela 28</t>
        </is>
      </c>
      <c r="K36" s="12" t="inlineStr">
        <is>
          <t>1.000 pontos por controle não implementado.</t>
        </is>
      </c>
    </row>
    <row r="37">
      <c r="A37" s="11" t="inlineStr">
        <is>
          <t>1.11</t>
        </is>
      </c>
      <c r="B37" s="12" t="inlineStr">
        <is>
          <t>Índice de chamadas telefônicas abandonadas</t>
        </is>
      </c>
      <c r="C37" s="16" t="n">
        <v>5</v>
      </c>
      <c r="D37" s="11" t="inlineStr">
        <is>
          <t>&lt;</t>
        </is>
      </c>
      <c r="E37" s="11" t="inlineStr">
        <is>
          <t>Mensal</t>
        </is>
      </c>
      <c r="F37" s="15" t="n">
        <v>50</v>
      </c>
      <c r="G37" s="17" t="n">
        <v>1</v>
      </c>
      <c r="H37" s="15" t="n">
        <v>50</v>
      </c>
      <c r="I37" s="12" t="inlineStr">
        <is>
          <t>Chamadas abandonadas / total de chamadas</t>
        </is>
      </c>
      <c r="J37" s="12" t="inlineStr">
        <is>
          <t>TR - Tabela 28</t>
        </is>
      </c>
      <c r="K37" s="12" t="inlineStr">
        <is>
          <t>Meta estritamente inferior a 5%.</t>
        </is>
      </c>
    </row>
    <row r="38">
      <c r="A38" s="11" t="inlineStr">
        <is>
          <t>1.12</t>
        </is>
      </c>
      <c r="B38" s="12" t="inlineStr">
        <is>
          <t>Chamadas atendidas em até 20 segundos</t>
        </is>
      </c>
      <c r="C38" s="16" t="n">
        <v>95</v>
      </c>
      <c r="D38" s="11" t="inlineStr">
        <is>
          <t>&gt;=</t>
        </is>
      </c>
      <c r="E38" s="11" t="inlineStr">
        <is>
          <t>Mensal</t>
        </is>
      </c>
      <c r="F38" s="15" t="n">
        <v>25</v>
      </c>
      <c r="G38" s="17" t="n">
        <v>0.1</v>
      </c>
      <c r="H38" s="15" t="n">
        <v>25</v>
      </c>
      <c r="I38" s="12" t="inlineStr">
        <is>
          <t>Chamadas em até 20s / total de chamadas</t>
        </is>
      </c>
      <c r="J38" s="12" t="inlineStr">
        <is>
          <t>TR - Tabela 28</t>
        </is>
      </c>
      <c r="K38" s="12" t="inlineStr"/>
    </row>
    <row r="39">
      <c r="A39" s="11" t="inlineStr">
        <is>
          <t>1.13</t>
        </is>
      </c>
      <c r="B39" s="12" t="inlineStr">
        <is>
          <t>Chamados atendidos no Nível I</t>
        </is>
      </c>
      <c r="C39" s="16" t="n"/>
      <c r="D39" s="11" t="inlineStr">
        <is>
          <t>&gt;=</t>
        </is>
      </c>
      <c r="E39" s="11" t="inlineStr">
        <is>
          <t>Mensal</t>
        </is>
      </c>
      <c r="F39" s="15" t="n">
        <v>50</v>
      </c>
      <c r="G39" s="17" t="n">
        <v>1</v>
      </c>
      <c r="H39" s="15" t="n">
        <v>50</v>
      </c>
      <c r="I39" s="12" t="inlineStr">
        <is>
          <t>Atendidos no N1 / registrados</t>
        </is>
      </c>
      <c r="J39" s="12" t="inlineStr">
        <is>
          <t>TR - Tabela 28</t>
        </is>
      </c>
      <c r="K39" s="12" t="inlineStr">
        <is>
          <t>Meta deve ser a acordada; 100% usado provisoriamente na competência.</t>
        </is>
      </c>
    </row>
    <row r="40">
      <c r="A40" s="11" t="inlineStr">
        <is>
          <t>1.14</t>
        </is>
      </c>
      <c r="B40" s="12" t="inlineStr">
        <is>
          <t>Disponibilidade de serviços de infraestrutura</t>
        </is>
      </c>
      <c r="C40" s="16" t="n">
        <v>99.5</v>
      </c>
      <c r="D40" s="11" t="inlineStr">
        <is>
          <t>&gt;=</t>
        </is>
      </c>
      <c r="E40" s="11" t="inlineStr">
        <is>
          <t>Mensal</t>
        </is>
      </c>
      <c r="F40" s="15" t="n">
        <v>250</v>
      </c>
      <c r="G40" s="17" t="n">
        <v>0.1</v>
      </c>
      <c r="H40" s="15" t="n">
        <v>250</v>
      </c>
      <c r="I40" s="12" t="inlineStr">
        <is>
          <t>Horas disponíveis ajustadas / horas do período ajustadas</t>
        </is>
      </c>
      <c r="J40" s="12" t="inlineStr">
        <is>
          <t>TR - Tabela 28</t>
        </is>
      </c>
      <c r="K40" s="12" t="inlineStr">
        <is>
          <t>Meta aplicada por serviço de infraestrutura.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6" t="inlineStr">
        <is>
          <t>Regras de Glosa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3" t="inlineStr">
        <is>
          <t>Formula</t>
        </is>
      </c>
      <c r="B43" s="4" t="inlineStr">
        <is>
          <t>Ajuste_NMS(%) = Pontos x 0,001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3" t="inlineStr">
        <is>
          <t>Limite Maximo</t>
        </is>
      </c>
      <c r="B44" s="4" t="inlineStr">
        <is>
          <t>30%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3" t="inlineStr">
        <is>
          <t>Valor Mensal</t>
        </is>
      </c>
      <c r="B45" s="5" t="n">
        <v>481534.8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21" customWidth="1" min="4" max="4"/>
    <col width="27" customWidth="1" min="5" max="5"/>
    <col width="38" customWidth="1" min="6" max="6"/>
  </cols>
  <sheetData>
    <row r="1">
      <c r="A1" s="1" t="inlineStr">
        <is>
          <t>SERVICOS POR ORGAO - Matriz de Segregacao</t>
        </is>
      </c>
      <c r="B1" s="2" t="n"/>
      <c r="C1" s="2" t="n"/>
      <c r="D1" s="2" t="n"/>
      <c r="E1" s="2" t="n"/>
      <c r="F1" s="2" t="n"/>
      <c r="I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I2" s="10" t="inlineStr">
        <is>
          <t>Execução 18/08/2026 | Dados: 49 dias | Responsável: Maria Aparecida Gomes</t>
        </is>
      </c>
    </row>
    <row r="3">
      <c r="A3" s="13" t="inlineStr">
        <is>
          <t>Item</t>
        </is>
      </c>
      <c r="B3" s="13" t="inlineStr">
        <is>
          <t>Servico</t>
        </is>
      </c>
      <c r="C3" s="13" t="inlineStr">
        <is>
          <t>Prestado ao MinC?</t>
        </is>
      </c>
      <c r="D3" s="13" t="inlineStr">
        <is>
          <t>Prestado ao MTur?</t>
        </is>
      </c>
      <c r="E3" s="13" t="inlineStr">
        <is>
          <t>Segregacao Obrigatoria?</t>
        </is>
      </c>
      <c r="F3" s="13" t="inlineStr">
        <is>
          <t>Criterio de Rateio</t>
        </is>
      </c>
    </row>
    <row r="4">
      <c r="A4" s="11" t="n">
        <v>1</v>
      </c>
      <c r="B4" s="12" t="inlineStr">
        <is>
          <t>Central de Serviços e Monitoramento</t>
        </is>
      </c>
      <c r="C4" s="11" t="inlineStr">
        <is>
          <t>Sim</t>
        </is>
      </c>
      <c r="D4" s="11" t="inlineStr">
        <is>
          <t>Sim</t>
        </is>
      </c>
      <c r="E4" s="11" t="inlineStr">
        <is>
          <t>Sim</t>
        </is>
      </c>
      <c r="F4" s="12" t="inlineStr">
        <is>
          <t>Chamados, ativos ou valor definido</t>
        </is>
      </c>
    </row>
    <row r="5">
      <c r="A5" s="11" t="n">
        <v>2</v>
      </c>
      <c r="B5" s="12" t="inlineStr">
        <is>
          <t>Gerenciamento Técnico das Operações e Projetos</t>
        </is>
      </c>
      <c r="C5" s="11" t="inlineStr">
        <is>
          <t>Sim</t>
        </is>
      </c>
      <c r="D5" s="11" t="inlineStr">
        <is>
          <t>Sim</t>
        </is>
      </c>
      <c r="E5" s="11" t="inlineStr">
        <is>
          <t>Sim</t>
        </is>
      </c>
      <c r="F5" s="12" t="inlineStr">
        <is>
          <t>Chamados, ativos ou valor definido</t>
        </is>
      </c>
    </row>
    <row r="6">
      <c r="A6" s="11" t="n">
        <v>3</v>
      </c>
      <c r="B6" s="12" t="inlineStr">
        <is>
          <t>Banco de Dados</t>
        </is>
      </c>
      <c r="C6" s="11" t="inlineStr">
        <is>
          <t>Sim</t>
        </is>
      </c>
      <c r="D6" s="11" t="inlineStr">
        <is>
          <t>Sim</t>
        </is>
      </c>
      <c r="E6" s="11" t="inlineStr">
        <is>
          <t>Sim</t>
        </is>
      </c>
      <c r="F6" s="12" t="inlineStr">
        <is>
          <t>Chamados, ativos ou valor definido</t>
        </is>
      </c>
    </row>
    <row r="7">
      <c r="A7" s="11" t="n">
        <v>4</v>
      </c>
      <c r="B7" s="12" t="inlineStr">
        <is>
          <t>Aplicações, Virtualização e Computação em Nuvem</t>
        </is>
      </c>
      <c r="C7" s="11" t="inlineStr">
        <is>
          <t>Sim</t>
        </is>
      </c>
      <c r="D7" s="11" t="inlineStr">
        <is>
          <t>Sim</t>
        </is>
      </c>
      <c r="E7" s="11" t="inlineStr">
        <is>
          <t>Sim</t>
        </is>
      </c>
      <c r="F7" s="12" t="inlineStr">
        <is>
          <t>Chamados, ativos ou valor definido</t>
        </is>
      </c>
    </row>
    <row r="8">
      <c r="A8" s="11" t="n">
        <v>5</v>
      </c>
      <c r="B8" s="12" t="inlineStr">
        <is>
          <t>Serviços Corporativos</t>
        </is>
      </c>
      <c r="C8" s="11" t="inlineStr">
        <is>
          <t>Sim</t>
        </is>
      </c>
      <c r="D8" s="11" t="inlineStr">
        <is>
          <t>Sim</t>
        </is>
      </c>
      <c r="E8" s="11" t="inlineStr">
        <is>
          <t>Sim</t>
        </is>
      </c>
      <c r="F8" s="12" t="inlineStr">
        <is>
          <t>Chamados, ativos ou valor definido</t>
        </is>
      </c>
    </row>
    <row r="9">
      <c r="A9" s="11" t="n">
        <v>6</v>
      </c>
      <c r="B9" s="12" t="inlineStr">
        <is>
          <t>Armazenamento e Backup</t>
        </is>
      </c>
      <c r="C9" s="11" t="inlineStr">
        <is>
          <t>Sim</t>
        </is>
      </c>
      <c r="D9" s="11" t="inlineStr">
        <is>
          <t>Sim</t>
        </is>
      </c>
      <c r="E9" s="11" t="inlineStr">
        <is>
          <t>Sim</t>
        </is>
      </c>
      <c r="F9" s="12" t="inlineStr">
        <is>
          <t>Chamados, ativos ou valor definido</t>
        </is>
      </c>
    </row>
    <row r="10">
      <c r="A10" s="11" t="n">
        <v>7</v>
      </c>
      <c r="B10" s="12" t="inlineStr">
        <is>
          <t>Redes</t>
        </is>
      </c>
      <c r="C10" s="11" t="inlineStr">
        <is>
          <t>Sim</t>
        </is>
      </c>
      <c r="D10" s="11" t="inlineStr">
        <is>
          <t>Sim</t>
        </is>
      </c>
      <c r="E10" s="11" t="inlineStr">
        <is>
          <t>Sim</t>
        </is>
      </c>
      <c r="F10" s="12" t="inlineStr">
        <is>
          <t>Chamados, ativos ou valor definido</t>
        </is>
      </c>
    </row>
    <row r="11">
      <c r="A11" s="11" t="n">
        <v>8</v>
      </c>
      <c r="B11" s="12" t="inlineStr">
        <is>
          <t>Segurança da Informação</t>
        </is>
      </c>
      <c r="C11" s="11" t="inlineStr">
        <is>
          <t>Sim</t>
        </is>
      </c>
      <c r="D11" s="11" t="inlineStr">
        <is>
          <t>Sim</t>
        </is>
      </c>
      <c r="E11" s="11" t="inlineStr">
        <is>
          <t>Sim</t>
        </is>
      </c>
      <c r="F11" s="12" t="inlineStr">
        <is>
          <t>Chamados, ativos ou valor definido</t>
        </is>
      </c>
    </row>
    <row r="12">
      <c r="A12" s="11" t="n">
        <v>9</v>
      </c>
      <c r="B12" s="12" t="inlineStr">
        <is>
          <t>DevOps</t>
        </is>
      </c>
      <c r="C12" s="11" t="inlineStr">
        <is>
          <t>Sim</t>
        </is>
      </c>
      <c r="D12" s="11" t="inlineStr">
        <is>
          <t>Sim</t>
        </is>
      </c>
      <c r="E12" s="11" t="inlineStr">
        <is>
          <t>Sim</t>
        </is>
      </c>
      <c r="F12" s="12" t="inlineStr">
        <is>
          <t>Chamados, ativos ou valor definido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1" customWidth="1" min="3" max="3"/>
    <col width="29" customWidth="1" min="4" max="4"/>
    <col width="15" customWidth="1" min="5" max="5"/>
    <col width="45" customWidth="1" min="6" max="6"/>
    <col width="17" customWidth="1" min="7" max="7"/>
    <col width="9" customWidth="1" min="8" max="8"/>
    <col width="11" customWidth="1" min="9" max="9"/>
    <col width="13" customWidth="1" min="10" max="10"/>
    <col width="15" customWidth="1" min="11" max="11"/>
    <col width="38" customWidth="1" min="12" max="12"/>
    <col width="13" customWidth="1" min="13" max="13"/>
    <col width="18" customWidth="1" min="14" max="14"/>
    <col width="45" customWidth="1" min="15" max="15"/>
    <col width="36" customWidth="1" min="16" max="16"/>
    <col width="17" customWidth="1" min="17" max="17"/>
    <col width="22" customWidth="1" min="18" max="18"/>
    <col width="45" customWidth="1" min="19" max="19"/>
    <col width="35" customWidth="1" min="20" max="20"/>
    <col width="23" customWidth="1" min="21" max="21"/>
    <col width="20" customWidth="1" min="22" max="22"/>
    <col width="14" customWidth="1" min="23" max="23"/>
    <col width="15" customWidth="1" min="24" max="24"/>
    <col width="17" customWidth="1" min="25" max="25"/>
    <col width="24" customWidth="1" min="26" max="26"/>
    <col width="14" customWidth="1" min="27" max="27"/>
    <col width="25" customWidth="1" min="28" max="28"/>
    <col width="45" customWidth="1" min="29" max="29"/>
  </cols>
  <sheetData>
    <row r="1">
      <c r="A1" s="1" t="inlineStr">
        <is>
          <t>INMS_BASE - Base Principal da Afericao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10" t="inlineStr">
        <is>
          <t>Execução 18/08/2026 | Dados: 49 dias | Responsável: Maria Aparecida Gomes</t>
        </is>
      </c>
    </row>
    <row r="3">
      <c r="A3" s="13" t="inlineStr">
        <is>
          <t>Competencia</t>
        </is>
      </c>
      <c r="B3" s="13" t="inlineStr">
        <is>
          <t>Item Contratual</t>
        </is>
      </c>
      <c r="C3" s="13" t="inlineStr">
        <is>
          <t>Servico</t>
        </is>
      </c>
      <c r="D3" s="13" t="inlineStr">
        <is>
          <t>Grupo Operacional</t>
        </is>
      </c>
      <c r="E3" s="13" t="inlineStr">
        <is>
          <t>Codigo INMS</t>
        </is>
      </c>
      <c r="F3" s="13" t="inlineStr">
        <is>
          <t>Descricao</t>
        </is>
      </c>
      <c r="G3" s="13" t="inlineStr">
        <is>
          <t>Orgao</t>
        </is>
      </c>
      <c r="H3" s="14" t="inlineStr">
        <is>
          <t>Meta</t>
        </is>
      </c>
      <c r="I3" s="13" t="inlineStr">
        <is>
          <t>Sentido</t>
        </is>
      </c>
      <c r="J3" s="14" t="inlineStr">
        <is>
          <t>Numerador</t>
        </is>
      </c>
      <c r="K3" s="14" t="inlineStr">
        <is>
          <t>Denominador</t>
        </is>
      </c>
      <c r="L3" s="14" t="inlineStr">
        <is>
          <t>Resultado Calculado</t>
        </is>
      </c>
      <c r="M3" s="13" t="inlineStr">
        <is>
          <t>Unidade</t>
        </is>
      </c>
      <c r="N3" s="13" t="inlineStr">
        <is>
          <t>Aplicabilidade</t>
        </is>
      </c>
      <c r="O3" s="13" t="inlineStr">
        <is>
          <t>Fonte do Resultado</t>
        </is>
      </c>
      <c r="P3" s="13" t="inlineStr">
        <is>
          <t>Segregacao</t>
        </is>
      </c>
      <c r="Q3" s="13" t="inlineStr">
        <is>
          <t>Compartilhado</t>
        </is>
      </c>
      <c r="R3" s="13" t="inlineStr">
        <is>
          <t>Resultado Esperado</t>
        </is>
      </c>
      <c r="S3" s="13" t="inlineStr">
        <is>
          <t>Conformidade</t>
        </is>
      </c>
      <c r="T3" s="14" t="inlineStr">
        <is>
          <t>Diferenca p/ Meta</t>
        </is>
      </c>
      <c r="U3" s="13" t="inlineStr">
        <is>
          <t>Ocorrencia de Glosa</t>
        </is>
      </c>
      <c r="V3" s="14" t="inlineStr">
        <is>
          <t>Percentual Glosa</t>
        </is>
      </c>
      <c r="W3" s="14" t="inlineStr">
        <is>
          <t>Valor Base</t>
        </is>
      </c>
      <c r="X3" s="14" t="inlineStr">
        <is>
          <t>Valor Glosa</t>
        </is>
      </c>
      <c r="Y3" s="13" t="inlineStr">
        <is>
          <t>Justificativa</t>
        </is>
      </c>
      <c r="Z3" s="13" t="inlineStr">
        <is>
          <t>Referencia Evidencia</t>
        </is>
      </c>
      <c r="AA3" s="13" t="inlineStr">
        <is>
          <t>Numero SEI</t>
        </is>
      </c>
      <c r="AB3" s="13" t="inlineStr">
        <is>
          <t>Responsavel Evidencia</t>
        </is>
      </c>
      <c r="AC3" s="13" t="inlineStr">
        <is>
          <t>Observacao Fiscal</t>
        </is>
      </c>
    </row>
    <row r="4">
      <c r="A4" s="12" t="inlineStr">
        <is>
          <t>Junho/2026</t>
        </is>
      </c>
      <c r="B4" s="12" t="inlineStr"/>
      <c r="C4" s="12" t="inlineStr"/>
      <c r="D4" s="12" t="inlineStr">
        <is>
          <t>Atendimento Remoto N1</t>
        </is>
      </c>
      <c r="E4" s="11" t="inlineStr">
        <is>
          <t>1.1</t>
        </is>
      </c>
      <c r="F4" s="12" t="inlineStr">
        <is>
          <t>Incidentes atendidos dentro do prazo</t>
        </is>
      </c>
      <c r="G4" s="18" t="inlineStr">
        <is>
          <t>MinC</t>
        </is>
      </c>
      <c r="H4" s="16" t="n">
        <v>98</v>
      </c>
      <c r="I4" s="11" t="inlineStr">
        <is>
          <t>&gt;=</t>
        </is>
      </c>
      <c r="J4" s="15" t="n">
        <v>0</v>
      </c>
      <c r="K4" s="15" t="n">
        <v>0</v>
      </c>
      <c r="L4" s="19">
        <f>IF(K4=0,"",ROUND(J4/K4*100,2))</f>
        <v/>
      </c>
      <c r="M4" s="11" t="inlineStr">
        <is>
          <t>%</t>
        </is>
      </c>
      <c r="N4" s="11" t="inlineStr">
        <is>
          <t>PENDENTE</t>
        </is>
      </c>
      <c r="O4" s="12" t="inlineStr">
        <is>
          <t>Aferição Junho/2026 - item em construção</t>
        </is>
      </c>
      <c r="P4" s="11" t="inlineStr">
        <is>
          <t>Pendente</t>
        </is>
      </c>
      <c r="Q4" s="11" t="inlineStr">
        <is>
          <t>Nao</t>
        </is>
      </c>
      <c r="R4" s="11">
        <f>H4</f>
        <v/>
      </c>
      <c r="S4" s="11">
        <f>IF(L4="","N/D",IF(L4&gt;=H4,"Conforme","Nao conforme"))</f>
        <v/>
      </c>
      <c r="T4" s="19">
        <f>IF(L4="","",ROUND(L4-H4,2))</f>
        <v/>
      </c>
      <c r="U4" s="11" t="inlineStr">
        <is>
          <t>Nao</t>
        </is>
      </c>
      <c r="V4" s="20" t="n">
        <v>0</v>
      </c>
      <c r="W4" s="21" t="n">
        <v>481534.8</v>
      </c>
      <c r="X4" s="21" t="n">
        <v>0</v>
      </c>
      <c r="Y4" s="12" t="inlineStr"/>
      <c r="Z4" s="12" t="inlineStr"/>
      <c r="AA4" s="12" t="inlineStr"/>
      <c r="AB4" s="12" t="inlineStr"/>
      <c r="AC4" s="12" t="inlineStr">
        <is>
          <t>Sem incidentes no período</t>
        </is>
      </c>
    </row>
    <row r="5">
      <c r="A5" s="12" t="inlineStr">
        <is>
          <t>Junho/2026</t>
        </is>
      </c>
      <c r="B5" s="12" t="inlineStr"/>
      <c r="C5" s="12" t="inlineStr"/>
      <c r="D5" s="12" t="inlineStr">
        <is>
          <t>Atendimento Remoto N1</t>
        </is>
      </c>
      <c r="E5" s="11" t="inlineStr">
        <is>
          <t>1.1</t>
        </is>
      </c>
      <c r="F5" s="12" t="inlineStr">
        <is>
          <t>Incidentes atendidos dentro do prazo</t>
        </is>
      </c>
      <c r="G5" s="22" t="inlineStr">
        <is>
          <t>MTur</t>
        </is>
      </c>
      <c r="H5" s="16" t="n">
        <v>98</v>
      </c>
      <c r="I5" s="11" t="inlineStr">
        <is>
          <t>&gt;=</t>
        </is>
      </c>
      <c r="J5" s="15" t="n">
        <v>1</v>
      </c>
      <c r="K5" s="15" t="n">
        <v>1</v>
      </c>
      <c r="L5" s="19">
        <f>IF(K5=0,"",ROUND(J5/K5*100,2))</f>
        <v/>
      </c>
      <c r="M5" s="11" t="inlineStr">
        <is>
          <t>%</t>
        </is>
      </c>
      <c r="N5" s="11" t="inlineStr">
        <is>
          <t>APLICÁVEL</t>
        </is>
      </c>
      <c r="O5" s="12" t="inlineStr">
        <is>
          <t>Aferição Junho/2026</t>
        </is>
      </c>
      <c r="P5" s="11" t="inlineStr">
        <is>
          <t>Calculado/Informado</t>
        </is>
      </c>
      <c r="Q5" s="11" t="inlineStr">
        <is>
          <t>Nao</t>
        </is>
      </c>
      <c r="R5" s="11">
        <f>H5</f>
        <v/>
      </c>
      <c r="S5" s="11">
        <f>IF(L5="","N/D",IF(L5&gt;=H5,"Conforme","Nao conforme"))</f>
        <v/>
      </c>
      <c r="T5" s="19">
        <f>IF(L5="","",ROUND(L5-H5,2))</f>
        <v/>
      </c>
      <c r="U5" s="11" t="inlineStr">
        <is>
          <t>Nao</t>
        </is>
      </c>
      <c r="V5" s="20" t="n">
        <v>0</v>
      </c>
      <c r="W5" s="21" t="n">
        <v>481534.8</v>
      </c>
      <c r="X5" s="21" t="n">
        <v>0</v>
      </c>
      <c r="Y5" s="12" t="inlineStr"/>
      <c r="Z5" s="12" t="inlineStr"/>
      <c r="AA5" s="12" t="inlineStr"/>
      <c r="AB5" s="12" t="inlineStr"/>
      <c r="AC5" s="12" t="inlineStr"/>
    </row>
    <row r="6">
      <c r="A6" s="12" t="inlineStr">
        <is>
          <t>Junho/2026</t>
        </is>
      </c>
      <c r="B6" s="12" t="inlineStr"/>
      <c r="C6" s="12" t="inlineStr"/>
      <c r="D6" s="12" t="inlineStr">
        <is>
          <t>Atendimento Remoto N1</t>
        </is>
      </c>
      <c r="E6" s="11" t="inlineStr">
        <is>
          <t>1.1</t>
        </is>
      </c>
      <c r="F6" s="12" t="inlineStr">
        <is>
          <t>Incidentes atendidos dentro do prazo</t>
        </is>
      </c>
      <c r="G6" s="23" t="inlineStr">
        <is>
          <t>Consolidado</t>
        </is>
      </c>
      <c r="H6" s="16" t="n">
        <v>98</v>
      </c>
      <c r="I6" s="11" t="inlineStr">
        <is>
          <t>&gt;=</t>
        </is>
      </c>
      <c r="J6" s="15" t="n">
        <v>1</v>
      </c>
      <c r="K6" s="15" t="n">
        <v>1</v>
      </c>
      <c r="L6" s="19">
        <f>IF(K6=0,"",ROUND(J6/K6*100,2))</f>
        <v/>
      </c>
      <c r="M6" s="11" t="inlineStr">
        <is>
          <t>%</t>
        </is>
      </c>
      <c r="N6" s="11" t="inlineStr">
        <is>
          <t>APLICÁVEL</t>
        </is>
      </c>
      <c r="O6" s="12" t="inlineStr">
        <is>
          <t>Aferição Junho/2026 - item em construção</t>
        </is>
      </c>
      <c r="P6" s="11" t="inlineStr">
        <is>
          <t>Calculado/Informado</t>
        </is>
      </c>
      <c r="Q6" s="11" t="inlineStr">
        <is>
          <t>Nao</t>
        </is>
      </c>
      <c r="R6" s="11">
        <f>H6</f>
        <v/>
      </c>
      <c r="S6" s="11">
        <f>IF(L6="","N/D",IF(L6&gt;=H6,"Conforme","Nao conforme"))</f>
        <v/>
      </c>
      <c r="T6" s="19">
        <f>IF(L6="","",ROUND(L6-H6,2))</f>
        <v/>
      </c>
      <c r="U6" s="11" t="inlineStr">
        <is>
          <t>Nao</t>
        </is>
      </c>
      <c r="V6" s="20" t="n">
        <v>0</v>
      </c>
      <c r="W6" s="21" t="n">
        <v>481534.8</v>
      </c>
      <c r="X6" s="21" t="n">
        <v>0</v>
      </c>
      <c r="Y6" s="12" t="inlineStr"/>
      <c r="Z6" s="12" t="inlineStr"/>
      <c r="AA6" s="12" t="inlineStr"/>
      <c r="AB6" s="12" t="inlineStr"/>
      <c r="AC6" s="12" t="inlineStr">
        <is>
          <t>Sem incidentes no período</t>
        </is>
      </c>
    </row>
    <row r="7">
      <c r="A7" s="12" t="inlineStr">
        <is>
          <t>Junho/2026</t>
        </is>
      </c>
      <c r="B7" s="12" t="inlineStr"/>
      <c r="C7" s="12" t="inlineStr"/>
      <c r="D7" s="12" t="inlineStr">
        <is>
          <t>Atendimento Remoto N1</t>
        </is>
      </c>
      <c r="E7" s="11" t="inlineStr">
        <is>
          <t>1.2</t>
        </is>
      </c>
      <c r="F7" s="12" t="inlineStr">
        <is>
          <t>Requisições atendidas dentro do prazo</t>
        </is>
      </c>
      <c r="G7" s="18" t="inlineStr">
        <is>
          <t>MinC</t>
        </is>
      </c>
      <c r="H7" s="16" t="n">
        <v>95</v>
      </c>
      <c r="I7" s="11" t="inlineStr">
        <is>
          <t>&gt;=</t>
        </is>
      </c>
      <c r="J7" s="15" t="n">
        <v>109</v>
      </c>
      <c r="K7" s="15" t="n">
        <v>116</v>
      </c>
      <c r="L7" s="19">
        <f>IF(K7=0,"",ROUND(J7/K7*100,2))</f>
        <v/>
      </c>
      <c r="M7" s="11" t="inlineStr">
        <is>
          <t>%</t>
        </is>
      </c>
      <c r="N7" s="11" t="inlineStr">
        <is>
          <t>APLICÁVEL</t>
        </is>
      </c>
      <c r="O7" s="12" t="inlineStr">
        <is>
          <t>Aferição Junho/2026</t>
        </is>
      </c>
      <c r="P7" s="11" t="inlineStr">
        <is>
          <t>Calculado/Informado</t>
        </is>
      </c>
      <c r="Q7" s="11" t="inlineStr">
        <is>
          <t>Nao</t>
        </is>
      </c>
      <c r="R7" s="11">
        <f>H7</f>
        <v/>
      </c>
      <c r="S7" s="11">
        <f>IF(L7="","N/D",IF(L7&gt;=H7,"Conforme","Nao conforme"))</f>
        <v/>
      </c>
      <c r="T7" s="19">
        <f>IF(L7="","",ROUND(L7-H7,2))</f>
        <v/>
      </c>
      <c r="U7" s="11" t="inlineStr">
        <is>
          <t>Sim</t>
        </is>
      </c>
      <c r="V7" s="20" t="n">
        <v>0.8667</v>
      </c>
      <c r="W7" s="21" t="n">
        <v>481534.8</v>
      </c>
      <c r="X7" s="21" t="n">
        <v>4173.32</v>
      </c>
      <c r="Y7" s="12" t="inlineStr"/>
      <c r="Z7" s="12" t="inlineStr"/>
      <c r="AA7" s="12" t="inlineStr"/>
      <c r="AB7" s="12" t="inlineStr"/>
      <c r="AC7" s="12" t="inlineStr"/>
    </row>
    <row r="8">
      <c r="A8" s="12" t="inlineStr">
        <is>
          <t>Junho/2026</t>
        </is>
      </c>
      <c r="B8" s="12" t="inlineStr"/>
      <c r="C8" s="12" t="inlineStr"/>
      <c r="D8" s="12" t="inlineStr">
        <is>
          <t>Atendimento Remoto N1</t>
        </is>
      </c>
      <c r="E8" s="11" t="inlineStr">
        <is>
          <t>1.2</t>
        </is>
      </c>
      <c r="F8" s="12" t="inlineStr">
        <is>
          <t>Requisições atendidas dentro do prazo</t>
        </is>
      </c>
      <c r="G8" s="22" t="inlineStr">
        <is>
          <t>MTur</t>
        </is>
      </c>
      <c r="H8" s="16" t="n">
        <v>95</v>
      </c>
      <c r="I8" s="11" t="inlineStr">
        <is>
          <t>&gt;=</t>
        </is>
      </c>
      <c r="J8" s="15" t="n">
        <v>96</v>
      </c>
      <c r="K8" s="15" t="n">
        <v>98</v>
      </c>
      <c r="L8" s="19">
        <f>IF(K8=0,"",ROUND(J8/K8*100,2))</f>
        <v/>
      </c>
      <c r="M8" s="11" t="inlineStr">
        <is>
          <t>%</t>
        </is>
      </c>
      <c r="N8" s="11" t="inlineStr">
        <is>
          <t>APLICÁVEL</t>
        </is>
      </c>
      <c r="O8" s="12" t="inlineStr">
        <is>
          <t>Aferição Junho/2026</t>
        </is>
      </c>
      <c r="P8" s="11" t="inlineStr">
        <is>
          <t>Calculado/Informado</t>
        </is>
      </c>
      <c r="Q8" s="11" t="inlineStr">
        <is>
          <t>Nao</t>
        </is>
      </c>
      <c r="R8" s="11">
        <f>H8</f>
        <v/>
      </c>
      <c r="S8" s="11">
        <f>IF(L8="","N/D",IF(L8&gt;=H8,"Conforme","Nao conforme"))</f>
        <v/>
      </c>
      <c r="T8" s="19">
        <f>IF(L8="","",ROUND(L8-H8,2))</f>
        <v/>
      </c>
      <c r="U8" s="11" t="inlineStr">
        <is>
          <t>Sim</t>
        </is>
      </c>
      <c r="V8" s="20" t="n">
        <v>1.2222</v>
      </c>
      <c r="W8" s="21" t="n">
        <v>481534.8</v>
      </c>
      <c r="X8" s="21" t="n">
        <v>5885.41</v>
      </c>
      <c r="Y8" s="12" t="inlineStr"/>
      <c r="Z8" s="12" t="inlineStr"/>
      <c r="AA8" s="12" t="inlineStr"/>
      <c r="AB8" s="12" t="inlineStr"/>
      <c r="AC8" s="12" t="inlineStr"/>
    </row>
    <row r="9">
      <c r="A9" s="12" t="inlineStr">
        <is>
          <t>Junho/2026</t>
        </is>
      </c>
      <c r="B9" s="12" t="inlineStr"/>
      <c r="C9" s="12" t="inlineStr"/>
      <c r="D9" s="12" t="inlineStr">
        <is>
          <t>Atendimento Remoto N1</t>
        </is>
      </c>
      <c r="E9" s="11" t="inlineStr">
        <is>
          <t>1.2</t>
        </is>
      </c>
      <c r="F9" s="12" t="inlineStr">
        <is>
          <t>Requisições atendidas dentro do prazo</t>
        </is>
      </c>
      <c r="G9" s="23" t="inlineStr">
        <is>
          <t>Consolidado</t>
        </is>
      </c>
      <c r="H9" s="16" t="n">
        <v>95</v>
      </c>
      <c r="I9" s="11" t="inlineStr">
        <is>
          <t>&gt;=</t>
        </is>
      </c>
      <c r="J9" s="15" t="n">
        <v>205</v>
      </c>
      <c r="K9" s="15" t="n">
        <v>214</v>
      </c>
      <c r="L9" s="19">
        <f>IF(K9=0,"",ROUND(J9/K9*100,2))</f>
        <v/>
      </c>
      <c r="M9" s="11" t="inlineStr">
        <is>
          <t>%</t>
        </is>
      </c>
      <c r="N9" s="11" t="inlineStr">
        <is>
          <t>APLICÁVEL</t>
        </is>
      </c>
      <c r="O9" s="12" t="inlineStr">
        <is>
          <t>Aferição Junho/2026</t>
        </is>
      </c>
      <c r="P9" s="11" t="inlineStr">
        <is>
          <t>Calculado/Informado</t>
        </is>
      </c>
      <c r="Q9" s="11" t="inlineStr">
        <is>
          <t>Nao</t>
        </is>
      </c>
      <c r="R9" s="11">
        <f>H9</f>
        <v/>
      </c>
      <c r="S9" s="11">
        <f>IF(L9="","N/D",IF(L9&gt;=H9,"Conforme","Nao conforme"))</f>
        <v/>
      </c>
      <c r="T9" s="19">
        <f>IF(L9="","",ROUND(L9-H9,2))</f>
        <v/>
      </c>
      <c r="U9" s="11" t="inlineStr">
        <is>
          <t>Sim</t>
        </is>
      </c>
      <c r="V9" s="20" t="n">
        <v>2.0889</v>
      </c>
      <c r="W9" s="21" t="n">
        <v>481534.8</v>
      </c>
      <c r="X9" s="21" t="n">
        <v>10058.73</v>
      </c>
      <c r="Y9" s="12" t="inlineStr"/>
      <c r="Z9" s="12" t="inlineStr"/>
      <c r="AA9" s="12" t="inlineStr"/>
      <c r="AB9" s="12" t="inlineStr"/>
      <c r="AC9" s="12" t="inlineStr"/>
    </row>
    <row r="10">
      <c r="A10" s="12" t="inlineStr">
        <is>
          <t>Junho/2026</t>
        </is>
      </c>
      <c r="B10" s="12" t="inlineStr"/>
      <c r="C10" s="12" t="inlineStr"/>
      <c r="D10" s="12" t="inlineStr">
        <is>
          <t>Gerenciamento Tecnico</t>
        </is>
      </c>
      <c r="E10" s="11" t="inlineStr">
        <is>
          <t>1.3</t>
        </is>
      </c>
      <c r="F10" s="12" t="inlineStr">
        <is>
          <t>Projetos atendidos dentro do prazo</t>
        </is>
      </c>
      <c r="G10" s="18" t="inlineStr">
        <is>
          <t>MinC</t>
        </is>
      </c>
      <c r="H10" s="16" t="n">
        <v>100</v>
      </c>
      <c r="I10" s="11" t="inlineStr">
        <is>
          <t>&gt;=</t>
        </is>
      </c>
      <c r="J10" s="15" t="n"/>
      <c r="K10" s="15" t="n"/>
      <c r="L10" s="16" t="n"/>
      <c r="M10" s="11" t="inlineStr">
        <is>
          <t>%</t>
        </is>
      </c>
      <c r="N10" s="11" t="inlineStr">
        <is>
          <t>NÃO APLICÁVEL</t>
        </is>
      </c>
      <c r="O10" s="12" t="inlineStr">
        <is>
          <t>Aferição Junho/2026 - N/A</t>
        </is>
      </c>
      <c r="P10" s="11" t="inlineStr">
        <is>
          <t>Pendente</t>
        </is>
      </c>
      <c r="Q10" s="11" t="inlineStr">
        <is>
          <t>Nao</t>
        </is>
      </c>
      <c r="R10" s="16" t="n">
        <v>100</v>
      </c>
      <c r="S10" s="11" t="inlineStr">
        <is>
          <t>N/D</t>
        </is>
      </c>
      <c r="T10" s="16" t="n"/>
      <c r="U10" s="11" t="inlineStr">
        <is>
          <t>Nao</t>
        </is>
      </c>
      <c r="V10" s="20" t="n">
        <v>0</v>
      </c>
      <c r="W10" s="21" t="n">
        <v>481534.8</v>
      </c>
      <c r="X10" s="21" t="n">
        <v>0</v>
      </c>
      <c r="Y10" s="12" t="inlineStr"/>
      <c r="Z10" s="12" t="inlineStr"/>
      <c r="AA10" s="12" t="inlineStr"/>
      <c r="AB10" s="12" t="inlineStr"/>
      <c r="AC10" s="12" t="inlineStr">
        <is>
          <t>Sem projetos encerrados no período</t>
        </is>
      </c>
    </row>
    <row r="11">
      <c r="A11" s="12" t="inlineStr">
        <is>
          <t>Junho/2026</t>
        </is>
      </c>
      <c r="B11" s="12" t="inlineStr"/>
      <c r="C11" s="12" t="inlineStr"/>
      <c r="D11" s="12" t="inlineStr">
        <is>
          <t>Gerenciamento Tecnico</t>
        </is>
      </c>
      <c r="E11" s="11" t="inlineStr">
        <is>
          <t>1.3</t>
        </is>
      </c>
      <c r="F11" s="12" t="inlineStr">
        <is>
          <t>Projetos atendidos dentro do prazo</t>
        </is>
      </c>
      <c r="G11" s="22" t="inlineStr">
        <is>
          <t>MTur</t>
        </is>
      </c>
      <c r="H11" s="16" t="n">
        <v>100</v>
      </c>
      <c r="I11" s="11" t="inlineStr">
        <is>
          <t>&gt;=</t>
        </is>
      </c>
      <c r="J11" s="15" t="n"/>
      <c r="K11" s="15" t="n"/>
      <c r="L11" s="16" t="n"/>
      <c r="M11" s="11" t="inlineStr">
        <is>
          <t>%</t>
        </is>
      </c>
      <c r="N11" s="11" t="inlineStr">
        <is>
          <t>NÃO APLICÁVEL</t>
        </is>
      </c>
      <c r="O11" s="12" t="inlineStr">
        <is>
          <t>Aferição Junho/2026 - N/A</t>
        </is>
      </c>
      <c r="P11" s="11" t="inlineStr">
        <is>
          <t>Pendente</t>
        </is>
      </c>
      <c r="Q11" s="11" t="inlineStr">
        <is>
          <t>Nao</t>
        </is>
      </c>
      <c r="R11" s="16" t="n">
        <v>100</v>
      </c>
      <c r="S11" s="11" t="inlineStr">
        <is>
          <t>N/D</t>
        </is>
      </c>
      <c r="T11" s="16" t="n"/>
      <c r="U11" s="11" t="inlineStr">
        <is>
          <t>Nao</t>
        </is>
      </c>
      <c r="V11" s="20" t="n">
        <v>0</v>
      </c>
      <c r="W11" s="21" t="n">
        <v>481534.8</v>
      </c>
      <c r="X11" s="21" t="n">
        <v>0</v>
      </c>
      <c r="Y11" s="12" t="inlineStr"/>
      <c r="Z11" s="12" t="inlineStr"/>
      <c r="AA11" s="12" t="inlineStr"/>
      <c r="AB11" s="12" t="inlineStr"/>
      <c r="AC11" s="12" t="inlineStr">
        <is>
          <t>Sem projetos encerrados no período</t>
        </is>
      </c>
    </row>
    <row r="12">
      <c r="A12" s="12" t="inlineStr">
        <is>
          <t>Junho/2026</t>
        </is>
      </c>
      <c r="B12" s="12" t="inlineStr"/>
      <c r="C12" s="12" t="inlineStr"/>
      <c r="D12" s="12" t="inlineStr">
        <is>
          <t>Gerenciamento Tecnico</t>
        </is>
      </c>
      <c r="E12" s="11" t="inlineStr">
        <is>
          <t>1.3</t>
        </is>
      </c>
      <c r="F12" s="12" t="inlineStr">
        <is>
          <t>Projetos atendidos dentro do prazo</t>
        </is>
      </c>
      <c r="G12" s="23" t="inlineStr">
        <is>
          <t>Consolidado</t>
        </is>
      </c>
      <c r="H12" s="16" t="n">
        <v>100</v>
      </c>
      <c r="I12" s="11" t="inlineStr">
        <is>
          <t>&gt;=</t>
        </is>
      </c>
      <c r="J12" s="15" t="n"/>
      <c r="K12" s="15" t="n"/>
      <c r="L12" s="16" t="n"/>
      <c r="M12" s="11" t="inlineStr">
        <is>
          <t>%</t>
        </is>
      </c>
      <c r="N12" s="11" t="inlineStr">
        <is>
          <t>NÃO APLICÁVEL</t>
        </is>
      </c>
      <c r="O12" s="12" t="inlineStr">
        <is>
          <t>Aferição Junho/2026 - N/A</t>
        </is>
      </c>
      <c r="P12" s="11" t="inlineStr">
        <is>
          <t>Pendente</t>
        </is>
      </c>
      <c r="Q12" s="11" t="inlineStr">
        <is>
          <t>Nao</t>
        </is>
      </c>
      <c r="R12" s="16" t="n">
        <v>100</v>
      </c>
      <c r="S12" s="11" t="inlineStr">
        <is>
          <t>N/D</t>
        </is>
      </c>
      <c r="T12" s="16" t="n"/>
      <c r="U12" s="11" t="inlineStr">
        <is>
          <t>Nao</t>
        </is>
      </c>
      <c r="V12" s="20" t="n">
        <v>0</v>
      </c>
      <c r="W12" s="21" t="n">
        <v>481534.8</v>
      </c>
      <c r="X12" s="21" t="n">
        <v>0</v>
      </c>
      <c r="Y12" s="12" t="inlineStr"/>
      <c r="Z12" s="12" t="inlineStr"/>
      <c r="AA12" s="12" t="inlineStr"/>
      <c r="AB12" s="12" t="inlineStr"/>
      <c r="AC12" s="12" t="inlineStr">
        <is>
          <t>Sem projetos encerrados no período</t>
        </is>
      </c>
    </row>
    <row r="13">
      <c r="A13" s="12" t="inlineStr">
        <is>
          <t>Junho/2026</t>
        </is>
      </c>
      <c r="B13" s="12" t="inlineStr"/>
      <c r="C13" s="12" t="inlineStr"/>
      <c r="D13" s="12" t="inlineStr">
        <is>
          <t>Monitoramento NOC/SOC</t>
        </is>
      </c>
      <c r="E13" s="11" t="inlineStr">
        <is>
          <t>1.4</t>
        </is>
      </c>
      <c r="F13" s="12" t="inlineStr">
        <is>
          <t>Disponibilidade de sistema/serviço crítico</t>
        </is>
      </c>
      <c r="G13" s="23" t="inlineStr">
        <is>
          <t>Compartilhado</t>
        </is>
      </c>
      <c r="H13" s="16" t="n">
        <v>99.5</v>
      </c>
      <c r="I13" s="11" t="inlineStr">
        <is>
          <t>&gt;=</t>
        </is>
      </c>
      <c r="J13" s="15" t="n"/>
      <c r="K13" s="15" t="n"/>
      <c r="L13" s="16" t="n">
        <v>99.47</v>
      </c>
      <c r="M13" s="11" t="inlineStr">
        <is>
          <t>%</t>
        </is>
      </c>
      <c r="N13" s="11" t="inlineStr">
        <is>
          <t>APLICÁVEL</t>
        </is>
      </c>
      <c r="O13" s="12" t="inlineStr">
        <is>
          <t>Aferição Junho/2026 - média informada</t>
        </is>
      </c>
      <c r="P13" s="11" t="inlineStr">
        <is>
          <t>Sem segregação técnica informada</t>
        </is>
      </c>
      <c r="Q13" s="11" t="inlineStr">
        <is>
          <t>Sim</t>
        </is>
      </c>
      <c r="R13" s="16" t="n">
        <v>99.5</v>
      </c>
      <c r="S13" s="11" t="inlineStr">
        <is>
          <t>Nao conforme</t>
        </is>
      </c>
      <c r="T13" s="16" t="n">
        <v>-0.03</v>
      </c>
      <c r="U13" s="11" t="inlineStr">
        <is>
          <t>Sim</t>
        </is>
      </c>
      <c r="V13" s="20" t="n">
        <v>5.5</v>
      </c>
      <c r="W13" s="21" t="n">
        <v>481534.8</v>
      </c>
      <c r="X13" s="21" t="n">
        <v>26484.41</v>
      </c>
      <c r="Y13" s="12" t="inlineStr"/>
      <c r="Z13" s="12" t="inlineStr"/>
      <c r="AA13" s="12" t="inlineStr"/>
      <c r="AB13" s="12" t="inlineStr"/>
      <c r="AC13" s="12" t="inlineStr">
        <is>
          <t>Resultado apurado a partir de um único valor consolidado (blend). Conformidade por sistema/serviço crítico (Anexo D) NÃO avaliada. Classificação roadmap §4: 'Compartilhado, sem segregação técnica disponível'.</t>
        </is>
      </c>
    </row>
    <row r="14">
      <c r="A14" s="12" t="inlineStr">
        <is>
          <t>Junho/2026</t>
        </is>
      </c>
      <c r="B14" s="12" t="inlineStr"/>
      <c r="C14" s="12" t="inlineStr"/>
      <c r="D14" s="12" t="inlineStr">
        <is>
          <t>Monitoramento NOC/SOC</t>
        </is>
      </c>
      <c r="E14" s="11" t="inlineStr">
        <is>
          <t>1.5</t>
        </is>
      </c>
      <c r="F14" s="12" t="inlineStr">
        <is>
          <t>Disponibilidade de sistema/serviço não-crítico</t>
        </is>
      </c>
      <c r="G14" s="23" t="inlineStr">
        <is>
          <t>Compartilhado</t>
        </is>
      </c>
      <c r="H14" s="16" t="n">
        <v>99</v>
      </c>
      <c r="I14" s="11" t="inlineStr">
        <is>
          <t>&gt;=</t>
        </is>
      </c>
      <c r="J14" s="15" t="n"/>
      <c r="K14" s="15" t="n"/>
      <c r="L14" s="16" t="n">
        <v>99.66</v>
      </c>
      <c r="M14" s="11" t="inlineStr">
        <is>
          <t>%</t>
        </is>
      </c>
      <c r="N14" s="11" t="inlineStr">
        <is>
          <t>APLICÁVEL</t>
        </is>
      </c>
      <c r="O14" s="12" t="inlineStr">
        <is>
          <t>Aferição Junho/2026 - média informada</t>
        </is>
      </c>
      <c r="P14" s="11" t="inlineStr">
        <is>
          <t>Sem segregação técnica informada</t>
        </is>
      </c>
      <c r="Q14" s="11" t="inlineStr">
        <is>
          <t>Sim</t>
        </is>
      </c>
      <c r="R14" s="16" t="n">
        <v>99</v>
      </c>
      <c r="S14" s="11" t="inlineStr">
        <is>
          <t>Conforme</t>
        </is>
      </c>
      <c r="T14" s="16" t="n">
        <v>0.66</v>
      </c>
      <c r="U14" s="11" t="inlineStr">
        <is>
          <t>Nao</t>
        </is>
      </c>
      <c r="V14" s="20" t="n">
        <v>0</v>
      </c>
      <c r="W14" s="21" t="n">
        <v>481534.8</v>
      </c>
      <c r="X14" s="21" t="n">
        <v>0</v>
      </c>
      <c r="Y14" s="12" t="inlineStr"/>
      <c r="Z14" s="12" t="inlineStr"/>
      <c r="AA14" s="12" t="inlineStr"/>
      <c r="AB14" s="12" t="inlineStr"/>
      <c r="AC14" s="12" t="inlineStr">
        <is>
          <t>Resultado apurado a partir de um único valor consolidado (blend). Conformidade por sistema/serviço não-crítico (Anexo D) NÃO avaliada. Classificação roadmap §4: 'Compartilhado, sem segregação técnica disponível'.</t>
        </is>
      </c>
    </row>
    <row r="15">
      <c r="A15" s="12" t="inlineStr">
        <is>
          <t>Junho/2026</t>
        </is>
      </c>
      <c r="B15" s="12" t="inlineStr"/>
      <c r="C15" s="12" t="inlineStr"/>
      <c r="D15" s="12" t="inlineStr">
        <is>
          <t>Atendimento Remoto N1</t>
        </is>
      </c>
      <c r="E15" s="11" t="inlineStr">
        <is>
          <t>1.6</t>
        </is>
      </c>
      <c r="F15" s="12" t="inlineStr">
        <is>
          <t>Eficácia no tratamento de chamados</t>
        </is>
      </c>
      <c r="G15" s="18" t="inlineStr">
        <is>
          <t>MinC</t>
        </is>
      </c>
      <c r="H15" s="16" t="n">
        <v>97</v>
      </c>
      <c r="I15" s="11" t="inlineStr">
        <is>
          <t>&gt;=</t>
        </is>
      </c>
      <c r="J15" s="15" t="n">
        <v>2276</v>
      </c>
      <c r="K15" s="15" t="n">
        <v>2277</v>
      </c>
      <c r="L15" s="19">
        <f>IF(K15=0,"",ROUND(J15/K15*100,2))</f>
        <v/>
      </c>
      <c r="M15" s="11" t="inlineStr">
        <is>
          <t>%</t>
        </is>
      </c>
      <c r="N15" s="11" t="inlineStr">
        <is>
          <t>APLICÁVEL</t>
        </is>
      </c>
      <c r="O15" s="12" t="inlineStr">
        <is>
          <t>Aferição Junho/2026</t>
        </is>
      </c>
      <c r="P15" s="11" t="inlineStr">
        <is>
          <t>Calculado/Informado</t>
        </is>
      </c>
      <c r="Q15" s="11" t="inlineStr">
        <is>
          <t>Nao</t>
        </is>
      </c>
      <c r="R15" s="11">
        <f>H15</f>
        <v/>
      </c>
      <c r="S15" s="11">
        <f>IF(L15="","N/D",IF(L15&gt;=H15,"Conforme","Nao conforme"))</f>
        <v/>
      </c>
      <c r="T15" s="19">
        <f>IF(L15="","",ROUND(L15-H15,2))</f>
        <v/>
      </c>
      <c r="U15" s="11" t="inlineStr">
        <is>
          <t>Nao</t>
        </is>
      </c>
      <c r="V15" s="20" t="n">
        <v>0</v>
      </c>
      <c r="W15" s="21" t="n">
        <v>481534.8</v>
      </c>
      <c r="X15" s="21" t="n">
        <v>0</v>
      </c>
      <c r="Y15" s="12" t="inlineStr"/>
      <c r="Z15" s="12" t="inlineStr"/>
      <c r="AA15" s="12" t="inlineStr"/>
      <c r="AB15" s="12" t="inlineStr"/>
      <c r="AC15" s="12" t="inlineStr"/>
    </row>
    <row r="16">
      <c r="A16" s="12" t="inlineStr">
        <is>
          <t>Junho/2026</t>
        </is>
      </c>
      <c r="B16" s="12" t="inlineStr"/>
      <c r="C16" s="12" t="inlineStr"/>
      <c r="D16" s="12" t="inlineStr">
        <is>
          <t>Atendimento Remoto N1</t>
        </is>
      </c>
      <c r="E16" s="11" t="inlineStr">
        <is>
          <t>1.6</t>
        </is>
      </c>
      <c r="F16" s="12" t="inlineStr">
        <is>
          <t>Eficácia no tratamento de chamados</t>
        </is>
      </c>
      <c r="G16" s="22" t="inlineStr">
        <is>
          <t>MTur</t>
        </is>
      </c>
      <c r="H16" s="16" t="n">
        <v>97</v>
      </c>
      <c r="I16" s="11" t="inlineStr">
        <is>
          <t>&gt;=</t>
        </is>
      </c>
      <c r="J16" s="15" t="n">
        <v>1032</v>
      </c>
      <c r="K16" s="15" t="n">
        <v>1035</v>
      </c>
      <c r="L16" s="19">
        <f>IF(K16=0,"",ROUND(J16/K16*100,2))</f>
        <v/>
      </c>
      <c r="M16" s="11" t="inlineStr">
        <is>
          <t>%</t>
        </is>
      </c>
      <c r="N16" s="11" t="inlineStr">
        <is>
          <t>APLICÁVEL</t>
        </is>
      </c>
      <c r="O16" s="12" t="inlineStr">
        <is>
          <t>Aferição Junho/2026</t>
        </is>
      </c>
      <c r="P16" s="11" t="inlineStr">
        <is>
          <t>Calculado/Informado</t>
        </is>
      </c>
      <c r="Q16" s="11" t="inlineStr">
        <is>
          <t>Nao</t>
        </is>
      </c>
      <c r="R16" s="11">
        <f>H16</f>
        <v/>
      </c>
      <c r="S16" s="11">
        <f>IF(L16="","N/D",IF(L16&gt;=H16,"Conforme","Nao conforme"))</f>
        <v/>
      </c>
      <c r="T16" s="19">
        <f>IF(L16="","",ROUND(L16-H16,2))</f>
        <v/>
      </c>
      <c r="U16" s="11" t="inlineStr">
        <is>
          <t>Nao</t>
        </is>
      </c>
      <c r="V16" s="20" t="n">
        <v>0</v>
      </c>
      <c r="W16" s="21" t="n">
        <v>481534.8</v>
      </c>
      <c r="X16" s="21" t="n">
        <v>0</v>
      </c>
      <c r="Y16" s="12" t="inlineStr"/>
      <c r="Z16" s="12" t="inlineStr"/>
      <c r="AA16" s="12" t="inlineStr"/>
      <c r="AB16" s="12" t="inlineStr"/>
      <c r="AC16" s="12" t="inlineStr"/>
    </row>
    <row r="17">
      <c r="A17" s="12" t="inlineStr">
        <is>
          <t>Junho/2026</t>
        </is>
      </c>
      <c r="B17" s="12" t="inlineStr"/>
      <c r="C17" s="12" t="inlineStr"/>
      <c r="D17" s="12" t="inlineStr">
        <is>
          <t>Atendimento Remoto N1</t>
        </is>
      </c>
      <c r="E17" s="11" t="inlineStr">
        <is>
          <t>1.6</t>
        </is>
      </c>
      <c r="F17" s="12" t="inlineStr">
        <is>
          <t>Eficácia no tratamento de chamados</t>
        </is>
      </c>
      <c r="G17" s="23" t="inlineStr">
        <is>
          <t>Consolidado</t>
        </is>
      </c>
      <c r="H17" s="16" t="n">
        <v>97</v>
      </c>
      <c r="I17" s="11" t="inlineStr">
        <is>
          <t>&gt;=</t>
        </is>
      </c>
      <c r="J17" s="15" t="n">
        <v>3308</v>
      </c>
      <c r="K17" s="15" t="n">
        <v>3312</v>
      </c>
      <c r="L17" s="19">
        <f>IF(K17=0,"",ROUND(J17/K17*100,2))</f>
        <v/>
      </c>
      <c r="M17" s="11" t="inlineStr">
        <is>
          <t>%</t>
        </is>
      </c>
      <c r="N17" s="11" t="inlineStr">
        <is>
          <t>APLICÁVEL</t>
        </is>
      </c>
      <c r="O17" s="12" t="inlineStr">
        <is>
          <t>Aferição Junho/2026</t>
        </is>
      </c>
      <c r="P17" s="11" t="inlineStr">
        <is>
          <t>Calculado/Informado</t>
        </is>
      </c>
      <c r="Q17" s="11" t="inlineStr">
        <is>
          <t>Nao</t>
        </is>
      </c>
      <c r="R17" s="11">
        <f>H17</f>
        <v/>
      </c>
      <c r="S17" s="11">
        <f>IF(L17="","N/D",IF(L17&gt;=H17,"Conforme","Nao conforme"))</f>
        <v/>
      </c>
      <c r="T17" s="19">
        <f>IF(L17="","",ROUND(L17-H17,2))</f>
        <v/>
      </c>
      <c r="U17" s="11" t="inlineStr">
        <is>
          <t>Nao</t>
        </is>
      </c>
      <c r="V17" s="20" t="n">
        <v>0</v>
      </c>
      <c r="W17" s="21" t="n">
        <v>481534.8</v>
      </c>
      <c r="X17" s="21" t="n">
        <v>0</v>
      </c>
      <c r="Y17" s="12" t="inlineStr"/>
      <c r="Z17" s="12" t="inlineStr"/>
      <c r="AA17" s="12" t="inlineStr"/>
      <c r="AB17" s="12" t="inlineStr"/>
      <c r="AC17" s="12" t="inlineStr"/>
    </row>
    <row r="18">
      <c r="A18" s="12" t="inlineStr">
        <is>
          <t>Junho/2026</t>
        </is>
      </c>
      <c r="B18" s="12" t="inlineStr"/>
      <c r="C18" s="12" t="inlineStr"/>
      <c r="D18" s="12" t="inlineStr">
        <is>
          <t>Atendimento Remoto N1</t>
        </is>
      </c>
      <c r="E18" s="11" t="inlineStr">
        <is>
          <t>1.7</t>
        </is>
      </c>
      <c r="F18" s="12" t="inlineStr">
        <is>
          <t>Satisfação dos usuários</t>
        </is>
      </c>
      <c r="G18" s="18" t="inlineStr">
        <is>
          <t>MinC</t>
        </is>
      </c>
      <c r="H18" s="16" t="n">
        <v>80</v>
      </c>
      <c r="I18" s="11" t="inlineStr">
        <is>
          <t>&gt;=</t>
        </is>
      </c>
      <c r="J18" s="15" t="n">
        <v>40</v>
      </c>
      <c r="K18" s="15" t="n">
        <v>1626</v>
      </c>
      <c r="L18" s="19">
        <f>IF(K18=0,"",ROUND(J18/K18*100,2))</f>
        <v/>
      </c>
      <c r="M18" s="11" t="inlineStr">
        <is>
          <t>%</t>
        </is>
      </c>
      <c r="N18" s="11" t="inlineStr">
        <is>
          <t>APLICÁVEL</t>
        </is>
      </c>
      <c r="O18" s="12" t="inlineStr">
        <is>
          <t>Aferição Junho/2026</t>
        </is>
      </c>
      <c r="P18" s="11" t="inlineStr">
        <is>
          <t>Calculado/Informado</t>
        </is>
      </c>
      <c r="Q18" s="11" t="inlineStr">
        <is>
          <t>Nao</t>
        </is>
      </c>
      <c r="R18" s="11">
        <f>H18</f>
        <v/>
      </c>
      <c r="S18" s="11">
        <f>IF(L18="","N/D",IF(L18&gt;=H18,"Conforme","Nao conforme"))</f>
        <v/>
      </c>
      <c r="T18" s="19">
        <f>IF(L18="","",ROUND(L18-H18,2))</f>
        <v/>
      </c>
      <c r="U18" s="11" t="inlineStr">
        <is>
          <t>Sim</t>
        </is>
      </c>
      <c r="V18" s="20" t="n">
        <v>19.385</v>
      </c>
      <c r="W18" s="21" t="n">
        <v>481534.8</v>
      </c>
      <c r="X18" s="21" t="n">
        <v>93345.47</v>
      </c>
      <c r="Y18" s="12" t="inlineStr"/>
      <c r="Z18" s="12" t="inlineStr"/>
      <c r="AA18" s="12" t="inlineStr"/>
      <c r="AB18" s="12" t="inlineStr"/>
      <c r="AC18" s="12" t="inlineStr"/>
    </row>
    <row r="19">
      <c r="A19" s="12" t="inlineStr">
        <is>
          <t>Junho/2026</t>
        </is>
      </c>
      <c r="B19" s="12" t="inlineStr"/>
      <c r="C19" s="12" t="inlineStr"/>
      <c r="D19" s="12" t="inlineStr">
        <is>
          <t>Atendimento Remoto N1</t>
        </is>
      </c>
      <c r="E19" s="11" t="inlineStr">
        <is>
          <t>1.7</t>
        </is>
      </c>
      <c r="F19" s="12" t="inlineStr">
        <is>
          <t>Satisfação dos usuários</t>
        </is>
      </c>
      <c r="G19" s="22" t="inlineStr">
        <is>
          <t>MTur</t>
        </is>
      </c>
      <c r="H19" s="16" t="n">
        <v>80</v>
      </c>
      <c r="I19" s="11" t="inlineStr">
        <is>
          <t>&gt;=</t>
        </is>
      </c>
      <c r="J19" s="15" t="n">
        <v>0</v>
      </c>
      <c r="K19" s="15" t="n">
        <v>0</v>
      </c>
      <c r="L19" s="19">
        <f>IF(K19=0,"",ROUND(J19/K19*100,2))</f>
        <v/>
      </c>
      <c r="M19" s="11" t="inlineStr">
        <is>
          <t>%</t>
        </is>
      </c>
      <c r="N19" s="11" t="inlineStr">
        <is>
          <t>PENDENTE</t>
        </is>
      </c>
      <c r="O19" s="12" t="inlineStr">
        <is>
          <t>Aferição Junho/2026 - item em construção</t>
        </is>
      </c>
      <c r="P19" s="11" t="inlineStr">
        <is>
          <t>Pendente</t>
        </is>
      </c>
      <c r="Q19" s="11" t="inlineStr">
        <is>
          <t>Nao</t>
        </is>
      </c>
      <c r="R19" s="11">
        <f>H19</f>
        <v/>
      </c>
      <c r="S19" s="11">
        <f>IF(L19="","N/D",IF(L19&gt;=H19,"Conforme","Nao conforme"))</f>
        <v/>
      </c>
      <c r="T19" s="19">
        <f>IF(L19="","",ROUND(L19-H19,2))</f>
        <v/>
      </c>
      <c r="U19" s="11" t="inlineStr">
        <is>
          <t>Nao</t>
        </is>
      </c>
      <c r="V19" s="20" t="n">
        <v>0</v>
      </c>
      <c r="W19" s="21" t="n">
        <v>481534.8</v>
      </c>
      <c r="X19" s="21" t="n">
        <v>0</v>
      </c>
      <c r="Y19" s="12" t="inlineStr"/>
      <c r="Z19" s="12" t="inlineStr"/>
      <c r="AA19" s="12" t="inlineStr"/>
      <c r="AB19" s="12" t="inlineStr"/>
      <c r="AC19" s="12" t="inlineStr">
        <is>
          <t>Sem avaliações no período</t>
        </is>
      </c>
    </row>
    <row r="20">
      <c r="A20" s="12" t="inlineStr">
        <is>
          <t>Junho/2026</t>
        </is>
      </c>
      <c r="B20" s="12" t="inlineStr"/>
      <c r="C20" s="12" t="inlineStr"/>
      <c r="D20" s="12" t="inlineStr">
        <is>
          <t>Atendimento Remoto N1</t>
        </is>
      </c>
      <c r="E20" s="11" t="inlineStr">
        <is>
          <t>1.7</t>
        </is>
      </c>
      <c r="F20" s="12" t="inlineStr">
        <is>
          <t>Satisfação dos usuários</t>
        </is>
      </c>
      <c r="G20" s="23" t="inlineStr">
        <is>
          <t>Consolidado</t>
        </is>
      </c>
      <c r="H20" s="16" t="n">
        <v>80</v>
      </c>
      <c r="I20" s="11" t="inlineStr">
        <is>
          <t>&gt;=</t>
        </is>
      </c>
      <c r="J20" s="15" t="n">
        <v>40</v>
      </c>
      <c r="K20" s="15" t="n">
        <v>1626</v>
      </c>
      <c r="L20" s="19">
        <f>IF(K20=0,"",ROUND(J20/K20*100,2))</f>
        <v/>
      </c>
      <c r="M20" s="11" t="inlineStr">
        <is>
          <t>%</t>
        </is>
      </c>
      <c r="N20" s="11" t="inlineStr">
        <is>
          <t>APLICÁVEL</t>
        </is>
      </c>
      <c r="O20" s="12" t="inlineStr">
        <is>
          <t>Aferição Junho/2026</t>
        </is>
      </c>
      <c r="P20" s="11" t="inlineStr">
        <is>
          <t>Calculado/Informado</t>
        </is>
      </c>
      <c r="Q20" s="11" t="inlineStr">
        <is>
          <t>Nao</t>
        </is>
      </c>
      <c r="R20" s="11">
        <f>H20</f>
        <v/>
      </c>
      <c r="S20" s="11">
        <f>IF(L20="","N/D",IF(L20&gt;=H20,"Conforme","Nao conforme"))</f>
        <v/>
      </c>
      <c r="T20" s="19">
        <f>IF(L20="","",ROUND(L20-H20,2))</f>
        <v/>
      </c>
      <c r="U20" s="11" t="inlineStr">
        <is>
          <t>Sim</t>
        </is>
      </c>
      <c r="V20" s="20" t="n">
        <v>19.385</v>
      </c>
      <c r="W20" s="21" t="n">
        <v>481534.8</v>
      </c>
      <c r="X20" s="21" t="n">
        <v>93345.47</v>
      </c>
      <c r="Y20" s="12" t="inlineStr"/>
      <c r="Z20" s="12" t="inlineStr"/>
      <c r="AA20" s="12" t="inlineStr"/>
      <c r="AB20" s="12" t="inlineStr"/>
      <c r="AC20" s="12" t="inlineStr">
        <is>
          <t>Sem avaliações no período</t>
        </is>
      </c>
    </row>
    <row r="21">
      <c r="A21" s="12" t="inlineStr">
        <is>
          <t>Junho/2026</t>
        </is>
      </c>
      <c r="B21" s="12" t="inlineStr"/>
      <c r="C21" s="12" t="inlineStr"/>
      <c r="D21" s="12" t="inlineStr">
        <is>
          <t>Gerenciamento Tecnico</t>
        </is>
      </c>
      <c r="E21" s="11" t="inlineStr">
        <is>
          <t>1.8</t>
        </is>
      </c>
      <c r="F21" s="12" t="inlineStr">
        <is>
          <t>Ocorrências de Desconformidade Técnica</t>
        </is>
      </c>
      <c r="G21" s="18" t="inlineStr">
        <is>
          <t>MinC</t>
        </is>
      </c>
      <c r="H21" s="16" t="n">
        <v>0</v>
      </c>
      <c r="I21" s="11" t="inlineStr">
        <is>
          <t>&lt;=</t>
        </is>
      </c>
      <c r="J21" s="15" t="n"/>
      <c r="K21" s="15" t="n"/>
      <c r="L21" s="16" t="n"/>
      <c r="M21" s="11" t="inlineStr">
        <is>
          <t>pontos</t>
        </is>
      </c>
      <c r="N21" s="11" t="inlineStr">
        <is>
          <t>NÃO APLICÁVEL</t>
        </is>
      </c>
      <c r="O21" s="12" t="inlineStr">
        <is>
          <t>N/A - aferição manual (Anexo E)</t>
        </is>
      </c>
      <c r="P21" s="11" t="inlineStr">
        <is>
          <t>Pendente</t>
        </is>
      </c>
      <c r="Q21" s="11" t="inlineStr">
        <is>
          <t>Nao</t>
        </is>
      </c>
      <c r="R21" s="16" t="n">
        <v>0</v>
      </c>
      <c r="S21" s="11" t="inlineStr">
        <is>
          <t>N/D</t>
        </is>
      </c>
      <c r="T21" s="16" t="n"/>
      <c r="U21" s="11" t="inlineStr">
        <is>
          <t>Nao</t>
        </is>
      </c>
      <c r="V21" s="20" t="n">
        <v>0</v>
      </c>
      <c r="W21" s="21" t="n">
        <v>481534.8</v>
      </c>
      <c r="X21" s="21" t="n">
        <v>0</v>
      </c>
      <c r="Y21" s="12" t="inlineStr"/>
      <c r="Z21" s="12" t="inlineStr"/>
      <c r="AA21" s="12" t="inlineStr"/>
      <c r="AB21" s="12" t="inlineStr"/>
      <c r="AC21" s="12" t="inlineStr">
        <is>
          <t>Aferição manual (Anexo E)</t>
        </is>
      </c>
    </row>
    <row r="22">
      <c r="A22" s="12" t="inlineStr">
        <is>
          <t>Junho/2026</t>
        </is>
      </c>
      <c r="B22" s="12" t="inlineStr"/>
      <c r="C22" s="12" t="inlineStr"/>
      <c r="D22" s="12" t="inlineStr">
        <is>
          <t>Gerenciamento Tecnico</t>
        </is>
      </c>
      <c r="E22" s="11" t="inlineStr">
        <is>
          <t>1.8</t>
        </is>
      </c>
      <c r="F22" s="12" t="inlineStr">
        <is>
          <t>Ocorrências de Desconformidade Técnica</t>
        </is>
      </c>
      <c r="G22" s="22" t="inlineStr">
        <is>
          <t>MTur</t>
        </is>
      </c>
      <c r="H22" s="16" t="n">
        <v>0</v>
      </c>
      <c r="I22" s="11" t="inlineStr">
        <is>
          <t>&lt;=</t>
        </is>
      </c>
      <c r="J22" s="15" t="n"/>
      <c r="K22" s="15" t="n"/>
      <c r="L22" s="16" t="n"/>
      <c r="M22" s="11" t="inlineStr">
        <is>
          <t>pontos</t>
        </is>
      </c>
      <c r="N22" s="11" t="inlineStr">
        <is>
          <t>NÃO APLICÁVEL</t>
        </is>
      </c>
      <c r="O22" s="12" t="inlineStr">
        <is>
          <t>N/A - aferição manual (Anexo E)</t>
        </is>
      </c>
      <c r="P22" s="11" t="inlineStr">
        <is>
          <t>Pendente</t>
        </is>
      </c>
      <c r="Q22" s="11" t="inlineStr">
        <is>
          <t>Nao</t>
        </is>
      </c>
      <c r="R22" s="16" t="n">
        <v>0</v>
      </c>
      <c r="S22" s="11" t="inlineStr">
        <is>
          <t>N/D</t>
        </is>
      </c>
      <c r="T22" s="16" t="n"/>
      <c r="U22" s="11" t="inlineStr">
        <is>
          <t>Nao</t>
        </is>
      </c>
      <c r="V22" s="20" t="n">
        <v>0</v>
      </c>
      <c r="W22" s="21" t="n">
        <v>481534.8</v>
      </c>
      <c r="X22" s="21" t="n">
        <v>0</v>
      </c>
      <c r="Y22" s="12" t="inlineStr"/>
      <c r="Z22" s="12" t="inlineStr"/>
      <c r="AA22" s="12" t="inlineStr"/>
      <c r="AB22" s="12" t="inlineStr"/>
      <c r="AC22" s="12" t="inlineStr">
        <is>
          <t>Aferição manual (Anexo E)</t>
        </is>
      </c>
    </row>
    <row r="23">
      <c r="A23" s="12" t="inlineStr">
        <is>
          <t>Junho/2026</t>
        </is>
      </c>
      <c r="B23" s="12" t="inlineStr"/>
      <c r="C23" s="12" t="inlineStr"/>
      <c r="D23" s="12" t="inlineStr">
        <is>
          <t>Gerenciamento Tecnico</t>
        </is>
      </c>
      <c r="E23" s="11" t="inlineStr">
        <is>
          <t>1.8</t>
        </is>
      </c>
      <c r="F23" s="12" t="inlineStr">
        <is>
          <t>Ocorrências de Desconformidade Técnica</t>
        </is>
      </c>
      <c r="G23" s="23" t="inlineStr">
        <is>
          <t>Consolidado</t>
        </is>
      </c>
      <c r="H23" s="16" t="n">
        <v>0</v>
      </c>
      <c r="I23" s="11" t="inlineStr">
        <is>
          <t>&lt;=</t>
        </is>
      </c>
      <c r="J23" s="15" t="n"/>
      <c r="K23" s="15" t="n"/>
      <c r="L23" s="16" t="n"/>
      <c r="M23" s="11" t="inlineStr">
        <is>
          <t>pontos</t>
        </is>
      </c>
      <c r="N23" s="11" t="inlineStr">
        <is>
          <t>NÃO APLICÁVEL</t>
        </is>
      </c>
      <c r="O23" s="12" t="inlineStr">
        <is>
          <t>N/A - aferição manual (Anexo E)</t>
        </is>
      </c>
      <c r="P23" s="11" t="inlineStr">
        <is>
          <t>Pendente</t>
        </is>
      </c>
      <c r="Q23" s="11" t="inlineStr">
        <is>
          <t>Nao</t>
        </is>
      </c>
      <c r="R23" s="16" t="n">
        <v>0</v>
      </c>
      <c r="S23" s="11" t="inlineStr">
        <is>
          <t>N/D</t>
        </is>
      </c>
      <c r="T23" s="16" t="n"/>
      <c r="U23" s="11" t="inlineStr">
        <is>
          <t>Nao</t>
        </is>
      </c>
      <c r="V23" s="20" t="n">
        <v>0</v>
      </c>
      <c r="W23" s="21" t="n">
        <v>481534.8</v>
      </c>
      <c r="X23" s="21" t="n">
        <v>0</v>
      </c>
      <c r="Y23" s="12" t="inlineStr"/>
      <c r="Z23" s="12" t="inlineStr"/>
      <c r="AA23" s="12" t="inlineStr"/>
      <c r="AB23" s="12" t="inlineStr"/>
      <c r="AC23" s="12" t="inlineStr">
        <is>
          <t>Aferição manual (Anexo E)</t>
        </is>
      </c>
    </row>
    <row r="24">
      <c r="A24" s="12" t="inlineStr">
        <is>
          <t>Junho/2026</t>
        </is>
      </c>
      <c r="B24" s="12" t="inlineStr"/>
      <c r="C24" s="12" t="inlineStr"/>
      <c r="D24" s="12" t="inlineStr">
        <is>
          <t>Atendimento Presencial N2</t>
        </is>
      </c>
      <c r="E24" s="11" t="inlineStr">
        <is>
          <t>1.9</t>
        </is>
      </c>
      <c r="F24" s="12" t="inlineStr">
        <is>
          <t>Tempo médio de implementação de mudança</t>
        </is>
      </c>
      <c r="G24" s="18" t="inlineStr">
        <is>
          <t>MinC</t>
        </is>
      </c>
      <c r="H24" s="16" t="n">
        <v>90</v>
      </c>
      <c r="I24" s="11" t="inlineStr">
        <is>
          <t>&gt;=</t>
        </is>
      </c>
      <c r="J24" s="15" t="n"/>
      <c r="K24" s="15" t="n"/>
      <c r="L24" s="16" t="n"/>
      <c r="M24" s="11" t="inlineStr">
        <is>
          <t>%</t>
        </is>
      </c>
      <c r="N24" s="11" t="inlineStr">
        <is>
          <t>NÃO APLICÁVEL</t>
        </is>
      </c>
      <c r="O24" s="12" t="inlineStr">
        <is>
          <t>Aferição Junho/2026 - não houve mudanças</t>
        </is>
      </c>
      <c r="P24" s="11" t="inlineStr">
        <is>
          <t>Pendente</t>
        </is>
      </c>
      <c r="Q24" s="11" t="inlineStr">
        <is>
          <t>Nao</t>
        </is>
      </c>
      <c r="R24" s="16" t="n">
        <v>90</v>
      </c>
      <c r="S24" s="11" t="inlineStr">
        <is>
          <t>N/D</t>
        </is>
      </c>
      <c r="T24" s="16" t="n"/>
      <c r="U24" s="11" t="inlineStr">
        <is>
          <t>Nao</t>
        </is>
      </c>
      <c r="V24" s="20" t="n">
        <v>0</v>
      </c>
      <c r="W24" s="21" t="n">
        <v>481534.8</v>
      </c>
      <c r="X24" s="21" t="n">
        <v>0</v>
      </c>
      <c r="Y24" s="12" t="inlineStr"/>
      <c r="Z24" s="12" t="inlineStr"/>
      <c r="AA24" s="12" t="inlineStr"/>
      <c r="AB24" s="12" t="inlineStr"/>
      <c r="AC24" s="12" t="inlineStr">
        <is>
          <t>Sem dados de mudanças no período</t>
        </is>
      </c>
    </row>
    <row r="25">
      <c r="A25" s="12" t="inlineStr">
        <is>
          <t>Junho/2026</t>
        </is>
      </c>
      <c r="B25" s="12" t="inlineStr"/>
      <c r="C25" s="12" t="inlineStr"/>
      <c r="D25" s="12" t="inlineStr">
        <is>
          <t>Atendimento Presencial N2</t>
        </is>
      </c>
      <c r="E25" s="11" t="inlineStr">
        <is>
          <t>1.9</t>
        </is>
      </c>
      <c r="F25" s="12" t="inlineStr">
        <is>
          <t>Tempo médio de implementação de mudança</t>
        </is>
      </c>
      <c r="G25" s="22" t="inlineStr">
        <is>
          <t>MTur</t>
        </is>
      </c>
      <c r="H25" s="16" t="n">
        <v>90</v>
      </c>
      <c r="I25" s="11" t="inlineStr">
        <is>
          <t>&gt;=</t>
        </is>
      </c>
      <c r="J25" s="15" t="n"/>
      <c r="K25" s="15" t="n"/>
      <c r="L25" s="16" t="n"/>
      <c r="M25" s="11" t="inlineStr">
        <is>
          <t>%</t>
        </is>
      </c>
      <c r="N25" s="11" t="inlineStr">
        <is>
          <t>NÃO APLICÁVEL</t>
        </is>
      </c>
      <c r="O25" s="12" t="inlineStr">
        <is>
          <t>Aferição Junho/2026 - não houve mudanças</t>
        </is>
      </c>
      <c r="P25" s="11" t="inlineStr">
        <is>
          <t>Pendente</t>
        </is>
      </c>
      <c r="Q25" s="11" t="inlineStr">
        <is>
          <t>Nao</t>
        </is>
      </c>
      <c r="R25" s="16" t="n">
        <v>90</v>
      </c>
      <c r="S25" s="11" t="inlineStr">
        <is>
          <t>N/D</t>
        </is>
      </c>
      <c r="T25" s="16" t="n"/>
      <c r="U25" s="11" t="inlineStr">
        <is>
          <t>Nao</t>
        </is>
      </c>
      <c r="V25" s="20" t="n">
        <v>0</v>
      </c>
      <c r="W25" s="21" t="n">
        <v>481534.8</v>
      </c>
      <c r="X25" s="21" t="n">
        <v>0</v>
      </c>
      <c r="Y25" s="12" t="inlineStr"/>
      <c r="Z25" s="12" t="inlineStr"/>
      <c r="AA25" s="12" t="inlineStr"/>
      <c r="AB25" s="12" t="inlineStr"/>
      <c r="AC25" s="12" t="inlineStr">
        <is>
          <t>Sem dados de mudanças no período</t>
        </is>
      </c>
    </row>
    <row r="26">
      <c r="A26" s="12" t="inlineStr">
        <is>
          <t>Junho/2026</t>
        </is>
      </c>
      <c r="B26" s="12" t="inlineStr"/>
      <c r="C26" s="12" t="inlineStr"/>
      <c r="D26" s="12" t="inlineStr">
        <is>
          <t>Atendimento Presencial N2</t>
        </is>
      </c>
      <c r="E26" s="11" t="inlineStr">
        <is>
          <t>1.9</t>
        </is>
      </c>
      <c r="F26" s="12" t="inlineStr">
        <is>
          <t>Tempo médio de implementação de mudança</t>
        </is>
      </c>
      <c r="G26" s="23" t="inlineStr">
        <is>
          <t>Consolidado</t>
        </is>
      </c>
      <c r="H26" s="16" t="n">
        <v>90</v>
      </c>
      <c r="I26" s="11" t="inlineStr">
        <is>
          <t>&gt;=</t>
        </is>
      </c>
      <c r="J26" s="15" t="n"/>
      <c r="K26" s="15" t="n"/>
      <c r="L26" s="16" t="n"/>
      <c r="M26" s="11" t="inlineStr">
        <is>
          <t>%</t>
        </is>
      </c>
      <c r="N26" s="11" t="inlineStr">
        <is>
          <t>NÃO APLICÁVEL</t>
        </is>
      </c>
      <c r="O26" s="12" t="inlineStr">
        <is>
          <t>Aferição Junho/2026 - não houve mudanças</t>
        </is>
      </c>
      <c r="P26" s="11" t="inlineStr">
        <is>
          <t>Pendente</t>
        </is>
      </c>
      <c r="Q26" s="11" t="inlineStr">
        <is>
          <t>Nao</t>
        </is>
      </c>
      <c r="R26" s="16" t="n">
        <v>90</v>
      </c>
      <c r="S26" s="11" t="inlineStr">
        <is>
          <t>N/D</t>
        </is>
      </c>
      <c r="T26" s="16" t="n"/>
      <c r="U26" s="11" t="inlineStr">
        <is>
          <t>Nao</t>
        </is>
      </c>
      <c r="V26" s="20" t="n">
        <v>0</v>
      </c>
      <c r="W26" s="21" t="n">
        <v>481534.8</v>
      </c>
      <c r="X26" s="21" t="n">
        <v>0</v>
      </c>
      <c r="Y26" s="12" t="inlineStr"/>
      <c r="Z26" s="12" t="inlineStr"/>
      <c r="AA26" s="12" t="inlineStr"/>
      <c r="AB26" s="12" t="inlineStr"/>
      <c r="AC26" s="12" t="inlineStr">
        <is>
          <t>Sem dados de mudanças no período</t>
        </is>
      </c>
    </row>
    <row r="27">
      <c r="A27" s="12" t="inlineStr">
        <is>
          <t>Junho/2026</t>
        </is>
      </c>
      <c r="B27" s="12" t="inlineStr"/>
      <c r="C27" s="12" t="inlineStr"/>
      <c r="D27" s="12" t="inlineStr">
        <is>
          <t>Operacao e Sustentacao N3</t>
        </is>
      </c>
      <c r="E27" s="11" t="inlineStr">
        <is>
          <t>1.10</t>
        </is>
      </c>
      <c r="F27" s="12" t="inlineStr">
        <is>
          <t>Taxa de implantação de controles de segurança</t>
        </is>
      </c>
      <c r="G27" s="18" t="inlineStr">
        <is>
          <t>MinC</t>
        </is>
      </c>
      <c r="H27" s="16" t="n">
        <v>100</v>
      </c>
      <c r="I27" s="11" t="inlineStr">
        <is>
          <t>&gt;=</t>
        </is>
      </c>
      <c r="J27" s="15" t="n"/>
      <c r="K27" s="15" t="n"/>
      <c r="L27" s="16" t="n"/>
      <c r="M27" s="11" t="inlineStr">
        <is>
          <t>controles</t>
        </is>
      </c>
      <c r="N27" s="11" t="inlineStr">
        <is>
          <t>PENDENTE</t>
        </is>
      </c>
      <c r="O27" s="12" t="inlineStr">
        <is>
          <t>Aferição Junho/2026 - item em construção</t>
        </is>
      </c>
      <c r="P27" s="11" t="inlineStr">
        <is>
          <t>Pendente</t>
        </is>
      </c>
      <c r="Q27" s="11" t="inlineStr">
        <is>
          <t>Nao</t>
        </is>
      </c>
      <c r="R27" s="16" t="n">
        <v>100</v>
      </c>
      <c r="S27" s="11" t="inlineStr">
        <is>
          <t>N/D</t>
        </is>
      </c>
      <c r="T27" s="16" t="n"/>
      <c r="U27" s="11" t="inlineStr">
        <is>
          <t>Nao</t>
        </is>
      </c>
      <c r="V27" s="20" t="n">
        <v>0</v>
      </c>
      <c r="W27" s="21" t="n">
        <v>481534.8</v>
      </c>
      <c r="X27" s="21" t="n">
        <v>0</v>
      </c>
      <c r="Y27" s="12" t="inlineStr"/>
      <c r="Z27" s="12" t="inlineStr"/>
      <c r="AA27" s="12" t="inlineStr"/>
      <c r="AB27" s="12" t="inlineStr"/>
      <c r="AC27" s="12" t="inlineStr">
        <is>
          <t>Aferição manual</t>
        </is>
      </c>
    </row>
    <row r="28">
      <c r="A28" s="12" t="inlineStr">
        <is>
          <t>Junho/2026</t>
        </is>
      </c>
      <c r="B28" s="12" t="inlineStr"/>
      <c r="C28" s="12" t="inlineStr"/>
      <c r="D28" s="12" t="inlineStr">
        <is>
          <t>Operacao e Sustentacao N3</t>
        </is>
      </c>
      <c r="E28" s="11" t="inlineStr">
        <is>
          <t>1.10</t>
        </is>
      </c>
      <c r="F28" s="12" t="inlineStr">
        <is>
          <t>Taxa de implantação de controles de segurança</t>
        </is>
      </c>
      <c r="G28" s="22" t="inlineStr">
        <is>
          <t>MTur</t>
        </is>
      </c>
      <c r="H28" s="16" t="n">
        <v>100</v>
      </c>
      <c r="I28" s="11" t="inlineStr">
        <is>
          <t>&gt;=</t>
        </is>
      </c>
      <c r="J28" s="15" t="n"/>
      <c r="K28" s="15" t="n"/>
      <c r="L28" s="16" t="n"/>
      <c r="M28" s="11" t="inlineStr">
        <is>
          <t>controles</t>
        </is>
      </c>
      <c r="N28" s="11" t="inlineStr">
        <is>
          <t>PENDENTE</t>
        </is>
      </c>
      <c r="O28" s="12" t="inlineStr">
        <is>
          <t>Aferição Junho/2026 - item em construção</t>
        </is>
      </c>
      <c r="P28" s="11" t="inlineStr">
        <is>
          <t>Pendente</t>
        </is>
      </c>
      <c r="Q28" s="11" t="inlineStr">
        <is>
          <t>Nao</t>
        </is>
      </c>
      <c r="R28" s="16" t="n">
        <v>100</v>
      </c>
      <c r="S28" s="11" t="inlineStr">
        <is>
          <t>N/D</t>
        </is>
      </c>
      <c r="T28" s="16" t="n"/>
      <c r="U28" s="11" t="inlineStr">
        <is>
          <t>Nao</t>
        </is>
      </c>
      <c r="V28" s="20" t="n">
        <v>0</v>
      </c>
      <c r="W28" s="21" t="n">
        <v>481534.8</v>
      </c>
      <c r="X28" s="21" t="n">
        <v>0</v>
      </c>
      <c r="Y28" s="12" t="inlineStr"/>
      <c r="Z28" s="12" t="inlineStr"/>
      <c r="AA28" s="12" t="inlineStr"/>
      <c r="AB28" s="12" t="inlineStr"/>
      <c r="AC28" s="12" t="inlineStr">
        <is>
          <t>Aferição manual</t>
        </is>
      </c>
    </row>
    <row r="29">
      <c r="A29" s="12" t="inlineStr">
        <is>
          <t>Junho/2026</t>
        </is>
      </c>
      <c r="B29" s="12" t="inlineStr"/>
      <c r="C29" s="12" t="inlineStr"/>
      <c r="D29" s="12" t="inlineStr">
        <is>
          <t>Operacao e Sustentacao N3</t>
        </is>
      </c>
      <c r="E29" s="11" t="inlineStr">
        <is>
          <t>1.10</t>
        </is>
      </c>
      <c r="F29" s="12" t="inlineStr">
        <is>
          <t>Taxa de implantação de controles de segurança</t>
        </is>
      </c>
      <c r="G29" s="23" t="inlineStr">
        <is>
          <t>Consolidado</t>
        </is>
      </c>
      <c r="H29" s="16" t="n">
        <v>100</v>
      </c>
      <c r="I29" s="11" t="inlineStr">
        <is>
          <t>&gt;=</t>
        </is>
      </c>
      <c r="J29" s="15" t="n"/>
      <c r="K29" s="15" t="n"/>
      <c r="L29" s="16" t="n"/>
      <c r="M29" s="11" t="inlineStr">
        <is>
          <t>controles</t>
        </is>
      </c>
      <c r="N29" s="11" t="inlineStr">
        <is>
          <t>PENDENTE</t>
        </is>
      </c>
      <c r="O29" s="12" t="inlineStr">
        <is>
          <t>Aferição Junho/2026 - item em construção</t>
        </is>
      </c>
      <c r="P29" s="11" t="inlineStr">
        <is>
          <t>Pendente</t>
        </is>
      </c>
      <c r="Q29" s="11" t="inlineStr">
        <is>
          <t>Nao</t>
        </is>
      </c>
      <c r="R29" s="16" t="n">
        <v>100</v>
      </c>
      <c r="S29" s="11" t="inlineStr">
        <is>
          <t>N/D</t>
        </is>
      </c>
      <c r="T29" s="16" t="n"/>
      <c r="U29" s="11" t="inlineStr">
        <is>
          <t>Nao</t>
        </is>
      </c>
      <c r="V29" s="20" t="n">
        <v>0</v>
      </c>
      <c r="W29" s="21" t="n">
        <v>481534.8</v>
      </c>
      <c r="X29" s="21" t="n">
        <v>0</v>
      </c>
      <c r="Y29" s="12" t="inlineStr"/>
      <c r="Z29" s="12" t="inlineStr"/>
      <c r="AA29" s="12" t="inlineStr"/>
      <c r="AB29" s="12" t="inlineStr"/>
      <c r="AC29" s="12" t="inlineStr">
        <is>
          <t>Aferição manual</t>
        </is>
      </c>
    </row>
    <row r="30">
      <c r="A30" s="12" t="inlineStr">
        <is>
          <t>Junho/2026</t>
        </is>
      </c>
      <c r="B30" s="12" t="inlineStr"/>
      <c r="C30" s="12" t="inlineStr"/>
      <c r="D30" s="12" t="inlineStr">
        <is>
          <t>Atendimento Remoto N1</t>
        </is>
      </c>
      <c r="E30" s="11" t="inlineStr">
        <is>
          <t>1.11</t>
        </is>
      </c>
      <c r="F30" s="12" t="inlineStr">
        <is>
          <t>Índice de chamadas telefônicas abandonadas</t>
        </is>
      </c>
      <c r="G30" s="23" t="inlineStr">
        <is>
          <t>Compartilhado</t>
        </is>
      </c>
      <c r="H30" s="16" t="n">
        <v>5</v>
      </c>
      <c r="I30" s="11" t="inlineStr">
        <is>
          <t>&lt;</t>
        </is>
      </c>
      <c r="J30" s="15" t="n">
        <v>454</v>
      </c>
      <c r="K30" s="15" t="n">
        <v>875</v>
      </c>
      <c r="L30" s="19">
        <f>IF(K30=0,"",ROUND(J30/K30*100,2))</f>
        <v/>
      </c>
      <c r="M30" s="11" t="inlineStr">
        <is>
          <t>%</t>
        </is>
      </c>
      <c r="N30" s="11" t="inlineStr">
        <is>
          <t>APLICÁVEL</t>
        </is>
      </c>
      <c r="O30" s="12" t="inlineStr">
        <is>
          <t>Aferição Junho/2026</t>
        </is>
      </c>
      <c r="P30" s="11" t="inlineStr">
        <is>
          <t>Sem segregação técnica informada</t>
        </is>
      </c>
      <c r="Q30" s="11" t="inlineStr">
        <is>
          <t>Sim</t>
        </is>
      </c>
      <c r="R30" s="11">
        <f>H30</f>
        <v/>
      </c>
      <c r="S30" s="11">
        <f>IF(L30="","N/D",IF(L30&lt;H30,"Conforme","Nao conforme"))</f>
        <v/>
      </c>
      <c r="T30" s="19">
        <f>IF(L30="","",ROUND(L30-H30,2))</f>
        <v/>
      </c>
      <c r="U30" s="11" t="inlineStr">
        <is>
          <t>Sim</t>
        </is>
      </c>
      <c r="V30" s="20" t="n">
        <v>4.7241</v>
      </c>
      <c r="W30" s="21" t="n">
        <v>481534.8</v>
      </c>
      <c r="X30" s="21" t="n">
        <v>22748.09</v>
      </c>
      <c r="Y30" s="12" t="inlineStr"/>
      <c r="Z30" s="12" t="inlineStr"/>
      <c r="AA30" s="12" t="inlineStr"/>
      <c r="AB30" s="12" t="inlineStr"/>
      <c r="AC30" s="12" t="inlineStr"/>
    </row>
    <row r="31">
      <c r="A31" s="12" t="inlineStr">
        <is>
          <t>Junho/2026</t>
        </is>
      </c>
      <c r="B31" s="12" t="inlineStr"/>
      <c r="C31" s="12" t="inlineStr"/>
      <c r="D31" s="12" t="inlineStr">
        <is>
          <t>Atendimento Remoto N1</t>
        </is>
      </c>
      <c r="E31" s="11" t="inlineStr">
        <is>
          <t>1.12</t>
        </is>
      </c>
      <c r="F31" s="12" t="inlineStr">
        <is>
          <t>Chamadas atendidas em até 20 segundos</t>
        </is>
      </c>
      <c r="G31" s="23" t="inlineStr">
        <is>
          <t>Compartilhado</t>
        </is>
      </c>
      <c r="H31" s="16" t="n">
        <v>95</v>
      </c>
      <c r="I31" s="11" t="inlineStr">
        <is>
          <t>&gt;=</t>
        </is>
      </c>
      <c r="J31" s="15" t="n">
        <v>745</v>
      </c>
      <c r="K31" s="15" t="n">
        <v>875</v>
      </c>
      <c r="L31" s="19">
        <f>IF(K31=0,"",ROUND(J31/K31*100,2))</f>
        <v/>
      </c>
      <c r="M31" s="11" t="inlineStr">
        <is>
          <t>%</t>
        </is>
      </c>
      <c r="N31" s="11" t="inlineStr">
        <is>
          <t>APLICÁVEL</t>
        </is>
      </c>
      <c r="O31" s="12" t="inlineStr">
        <is>
          <t>Aferição Junho/2026</t>
        </is>
      </c>
      <c r="P31" s="11" t="inlineStr">
        <is>
          <t>Sem segregação técnica informada</t>
        </is>
      </c>
      <c r="Q31" s="11" t="inlineStr">
        <is>
          <t>Sim</t>
        </is>
      </c>
      <c r="R31" s="11">
        <f>H31</f>
        <v/>
      </c>
      <c r="S31" s="11">
        <f>IF(L31="","N/D",IF(L31&gt;=H31,"Conforme","Nao conforme"))</f>
        <v/>
      </c>
      <c r="T31" s="19">
        <f>IF(L31="","",ROUND(L31-H31,2))</f>
        <v/>
      </c>
      <c r="U31" s="11" t="inlineStr">
        <is>
          <t>Sim</t>
        </is>
      </c>
      <c r="V31" s="20" t="n">
        <v>4.6697</v>
      </c>
      <c r="W31" s="21" t="n">
        <v>481534.8</v>
      </c>
      <c r="X31" s="21" t="n">
        <v>22486.09</v>
      </c>
      <c r="Y31" s="12" t="inlineStr"/>
      <c r="Z31" s="12" t="inlineStr"/>
      <c r="AA31" s="12" t="inlineStr"/>
      <c r="AB31" s="12" t="inlineStr"/>
      <c r="AC31" s="12" t="inlineStr"/>
    </row>
    <row r="32">
      <c r="A32" s="12" t="inlineStr">
        <is>
          <t>Junho/2026</t>
        </is>
      </c>
      <c r="B32" s="12" t="inlineStr"/>
      <c r="C32" s="12" t="inlineStr"/>
      <c r="D32" s="12" t="inlineStr">
        <is>
          <t>Atendimento Remoto N1</t>
        </is>
      </c>
      <c r="E32" s="11" t="inlineStr">
        <is>
          <t>1.13</t>
        </is>
      </c>
      <c r="F32" s="12" t="inlineStr">
        <is>
          <t>Chamados atendidos no Nível I</t>
        </is>
      </c>
      <c r="G32" s="18" t="inlineStr">
        <is>
          <t>MinC</t>
        </is>
      </c>
      <c r="H32" s="16" t="n"/>
      <c r="I32" s="11" t="inlineStr">
        <is>
          <t>&gt;=</t>
        </is>
      </c>
      <c r="J32" s="15" t="n">
        <v>116</v>
      </c>
      <c r="K32" s="15" t="n">
        <v>116</v>
      </c>
      <c r="L32" s="16" t="n">
        <v>100</v>
      </c>
      <c r="M32" s="11" t="inlineStr">
        <is>
          <t>%</t>
        </is>
      </c>
      <c r="N32" s="11" t="inlineStr">
        <is>
          <t>APLICÁVEL</t>
        </is>
      </c>
      <c r="O32" s="12" t="inlineStr">
        <is>
          <t>Aferição Junho/2026 - percentual informado</t>
        </is>
      </c>
      <c r="P32" s="11" t="inlineStr">
        <is>
          <t>Calculado/Informado</t>
        </is>
      </c>
      <c r="Q32" s="11" t="inlineStr">
        <is>
          <t>Nao</t>
        </is>
      </c>
      <c r="R32" s="16" t="n"/>
      <c r="S32" s="11" t="inlineStr">
        <is>
          <t>N/D</t>
        </is>
      </c>
      <c r="T32" s="16" t="n"/>
      <c r="U32" s="11" t="inlineStr">
        <is>
          <t>Nao</t>
        </is>
      </c>
      <c r="V32" s="20" t="n">
        <v>0</v>
      </c>
      <c r="W32" s="21" t="n">
        <v>481534.8</v>
      </c>
      <c r="X32" s="21" t="n">
        <v>0</v>
      </c>
      <c r="Y32" s="12" t="inlineStr"/>
      <c r="Z32" s="12" t="inlineStr"/>
      <c r="AA32" s="12" t="inlineStr"/>
      <c r="AB32" s="12" t="inlineStr"/>
      <c r="AC32" s="12" t="inlineStr">
        <is>
          <t>Meta não definida (a acordar com a CONTRATADA)</t>
        </is>
      </c>
    </row>
    <row r="33">
      <c r="A33" s="12" t="inlineStr">
        <is>
          <t>Junho/2026</t>
        </is>
      </c>
      <c r="B33" s="12" t="inlineStr"/>
      <c r="C33" s="12" t="inlineStr"/>
      <c r="D33" s="12" t="inlineStr">
        <is>
          <t>Atendimento Remoto N1</t>
        </is>
      </c>
      <c r="E33" s="11" t="inlineStr">
        <is>
          <t>1.13</t>
        </is>
      </c>
      <c r="F33" s="12" t="inlineStr">
        <is>
          <t>Chamados atendidos no Nível I</t>
        </is>
      </c>
      <c r="G33" s="22" t="inlineStr">
        <is>
          <t>MTur</t>
        </is>
      </c>
      <c r="H33" s="16" t="n"/>
      <c r="I33" s="11" t="inlineStr">
        <is>
          <t>&gt;=</t>
        </is>
      </c>
      <c r="J33" s="15" t="n">
        <v>99</v>
      </c>
      <c r="K33" s="15" t="n">
        <v>99</v>
      </c>
      <c r="L33" s="16" t="n">
        <v>100</v>
      </c>
      <c r="M33" s="11" t="inlineStr">
        <is>
          <t>%</t>
        </is>
      </c>
      <c r="N33" s="11" t="inlineStr">
        <is>
          <t>APLICÁVEL</t>
        </is>
      </c>
      <c r="O33" s="12" t="inlineStr">
        <is>
          <t>Aferição Junho/2026 - percentual informado</t>
        </is>
      </c>
      <c r="P33" s="11" t="inlineStr">
        <is>
          <t>Calculado/Informado</t>
        </is>
      </c>
      <c r="Q33" s="11" t="inlineStr">
        <is>
          <t>Nao</t>
        </is>
      </c>
      <c r="R33" s="16" t="n"/>
      <c r="S33" s="11" t="inlineStr">
        <is>
          <t>N/D</t>
        </is>
      </c>
      <c r="T33" s="16" t="n"/>
      <c r="U33" s="11" t="inlineStr">
        <is>
          <t>Nao</t>
        </is>
      </c>
      <c r="V33" s="20" t="n">
        <v>0</v>
      </c>
      <c r="W33" s="21" t="n">
        <v>481534.8</v>
      </c>
      <c r="X33" s="21" t="n">
        <v>0</v>
      </c>
      <c r="Y33" s="12" t="inlineStr"/>
      <c r="Z33" s="12" t="inlineStr"/>
      <c r="AA33" s="12" t="inlineStr"/>
      <c r="AB33" s="12" t="inlineStr"/>
      <c r="AC33" s="12" t="inlineStr">
        <is>
          <t>Meta não definida (a acordar com a CONTRATADA)</t>
        </is>
      </c>
    </row>
    <row r="34">
      <c r="A34" s="12" t="inlineStr">
        <is>
          <t>Junho/2026</t>
        </is>
      </c>
      <c r="B34" s="12" t="inlineStr"/>
      <c r="C34" s="12" t="inlineStr"/>
      <c r="D34" s="12" t="inlineStr">
        <is>
          <t>Atendimento Remoto N1</t>
        </is>
      </c>
      <c r="E34" s="11" t="inlineStr">
        <is>
          <t>1.13</t>
        </is>
      </c>
      <c r="F34" s="12" t="inlineStr">
        <is>
          <t>Chamados atendidos no Nível I</t>
        </is>
      </c>
      <c r="G34" s="23" t="inlineStr">
        <is>
          <t>Consolidado</t>
        </is>
      </c>
      <c r="H34" s="16" t="n"/>
      <c r="I34" s="11" t="inlineStr">
        <is>
          <t>&gt;=</t>
        </is>
      </c>
      <c r="J34" s="15" t="n">
        <v>215</v>
      </c>
      <c r="K34" s="15" t="n">
        <v>215</v>
      </c>
      <c r="L34" s="16" t="n">
        <v>100</v>
      </c>
      <c r="M34" s="11" t="inlineStr">
        <is>
          <t>%</t>
        </is>
      </c>
      <c r="N34" s="11" t="inlineStr">
        <is>
          <t>APLICÁVEL</t>
        </is>
      </c>
      <c r="O34" s="12" t="inlineStr">
        <is>
          <t>Aferição Junho/2026 - percentual informado</t>
        </is>
      </c>
      <c r="P34" s="11" t="inlineStr">
        <is>
          <t>Calculado/Informado</t>
        </is>
      </c>
      <c r="Q34" s="11" t="inlineStr">
        <is>
          <t>Nao</t>
        </is>
      </c>
      <c r="R34" s="16" t="n"/>
      <c r="S34" s="11" t="inlineStr">
        <is>
          <t>N/D</t>
        </is>
      </c>
      <c r="T34" s="16" t="n"/>
      <c r="U34" s="11" t="inlineStr">
        <is>
          <t>Nao</t>
        </is>
      </c>
      <c r="V34" s="20" t="n">
        <v>0</v>
      </c>
      <c r="W34" s="21" t="n">
        <v>481534.8</v>
      </c>
      <c r="X34" s="21" t="n">
        <v>0</v>
      </c>
      <c r="Y34" s="12" t="inlineStr"/>
      <c r="Z34" s="12" t="inlineStr"/>
      <c r="AA34" s="12" t="inlineStr"/>
      <c r="AB34" s="12" t="inlineStr"/>
      <c r="AC34" s="12" t="inlineStr">
        <is>
          <t>Meta não definida (a acordar com a CONTRATADA)</t>
        </is>
      </c>
    </row>
    <row r="35">
      <c r="A35" s="12" t="inlineStr">
        <is>
          <t>Junho/2026</t>
        </is>
      </c>
      <c r="B35" s="12" t="inlineStr"/>
      <c r="C35" s="12" t="inlineStr"/>
      <c r="D35" s="12" t="inlineStr">
        <is>
          <t>Operacao e Sustentacao N3</t>
        </is>
      </c>
      <c r="E35" s="11" t="inlineStr">
        <is>
          <t>1.14</t>
        </is>
      </c>
      <c r="F35" s="12" t="inlineStr">
        <is>
          <t>Disponibilidade de serviços de infraestrutura</t>
        </is>
      </c>
      <c r="G35" s="23" t="inlineStr">
        <is>
          <t>Compartilhado</t>
        </is>
      </c>
      <c r="H35" s="16" t="n">
        <v>99.5</v>
      </c>
      <c r="I35" s="11" t="inlineStr">
        <is>
          <t>&gt;=</t>
        </is>
      </c>
      <c r="J35" s="15" t="n"/>
      <c r="K35" s="15" t="n"/>
      <c r="L35" s="16" t="n">
        <v>97.5</v>
      </c>
      <c r="M35" s="11" t="inlineStr">
        <is>
          <t>%</t>
        </is>
      </c>
      <c r="N35" s="11" t="inlineStr">
        <is>
          <t>APLICÁVEL</t>
        </is>
      </c>
      <c r="O35" s="12" t="inlineStr">
        <is>
          <t>Aferição Junho/2026 - média informada</t>
        </is>
      </c>
      <c r="P35" s="11" t="inlineStr">
        <is>
          <t>Sem segregação técnica informada</t>
        </is>
      </c>
      <c r="Q35" s="11" t="inlineStr">
        <is>
          <t>Sim</t>
        </is>
      </c>
      <c r="R35" s="16" t="n">
        <v>99.5</v>
      </c>
      <c r="S35" s="11" t="inlineStr">
        <is>
          <t>Nao conforme</t>
        </is>
      </c>
      <c r="T35" s="16" t="n">
        <v>-2</v>
      </c>
      <c r="U35" s="11" t="inlineStr">
        <is>
          <t>Sim</t>
        </is>
      </c>
      <c r="V35" s="20" t="n">
        <v>11.225</v>
      </c>
      <c r="W35" s="21" t="n">
        <v>481534.8</v>
      </c>
      <c r="X35" s="21" t="n">
        <v>54052.28</v>
      </c>
      <c r="Y35" s="12" t="inlineStr"/>
      <c r="Z35" s="12" t="inlineStr"/>
      <c r="AA35" s="12" t="inlineStr"/>
      <c r="AB35" s="12" t="inlineStr"/>
      <c r="AC35" s="12" t="inlineStr">
        <is>
          <t>Resultado apurado a partir de um único valor consolidado (blend). Conformidade por serviço de infraestrutura (Anexo D) NÃO avaliada. Classificação roadmap §4: 'Compartilhado, sem segregação técnica disponível'.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15" customWidth="1" min="4" max="4"/>
    <col width="13" customWidth="1" min="5" max="5"/>
    <col width="8" customWidth="1" min="6" max="6"/>
    <col width="16" customWidth="1" min="7" max="7"/>
    <col width="13" customWidth="1" min="8" max="8"/>
    <col width="15" customWidth="1" min="9" max="9"/>
    <col width="45" customWidth="1" min="10" max="10"/>
  </cols>
  <sheetData>
    <row r="1">
      <c r="A1" s="1" t="inlineStr">
        <is>
          <t>ATENDIMENTO REMOTO N1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10" t="inlineStr">
        <is>
          <t>Execução 18/08/2026 | Dados: 49 dias | Responsável: Maria Aparecida Gomes</t>
        </is>
      </c>
    </row>
    <row r="3">
      <c r="A3" s="24" t="inlineStr">
        <is>
          <t>MinC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>
      <c r="A4" s="13" t="inlineStr">
        <is>
          <t>INMS</t>
        </is>
      </c>
      <c r="B4" s="13" t="inlineStr">
        <is>
          <t>Orgao</t>
        </is>
      </c>
      <c r="C4" s="14" t="inlineStr">
        <is>
          <t>Numerador</t>
        </is>
      </c>
      <c r="D4" s="14" t="inlineStr">
        <is>
          <t>Denominador</t>
        </is>
      </c>
      <c r="E4" s="14" t="inlineStr">
        <is>
          <t>Resultado</t>
        </is>
      </c>
      <c r="F4" s="14" t="inlineStr">
        <is>
          <t>Meta</t>
        </is>
      </c>
      <c r="G4" s="13" t="inlineStr">
        <is>
          <t>Conformidade</t>
        </is>
      </c>
      <c r="H4" s="14" t="inlineStr">
        <is>
          <t>Diferenca</t>
        </is>
      </c>
      <c r="I4" s="14" t="inlineStr">
        <is>
          <t>Glosa (pts)</t>
        </is>
      </c>
      <c r="J4" s="13" t="inlineStr">
        <is>
          <t>Observacao</t>
        </is>
      </c>
    </row>
    <row r="5">
      <c r="A5" s="11" t="inlineStr">
        <is>
          <t>1.1</t>
        </is>
      </c>
      <c r="B5" s="11" t="inlineStr">
        <is>
          <t>MinC</t>
        </is>
      </c>
      <c r="C5" s="15" t="n">
        <v>0</v>
      </c>
      <c r="D5" s="15" t="n">
        <v>0</v>
      </c>
      <c r="E5" s="16" t="n"/>
      <c r="F5" s="16" t="n">
        <v>98</v>
      </c>
      <c r="G5" s="26" t="inlineStr">
        <is>
          <t>N/D</t>
        </is>
      </c>
      <c r="H5" s="16" t="n"/>
      <c r="I5" s="15" t="n">
        <v>0</v>
      </c>
      <c r="J5" s="12" t="inlineStr">
        <is>
          <t>Incidentes atendidos dentro do prazo</t>
        </is>
      </c>
    </row>
    <row r="6">
      <c r="A6" s="11" t="inlineStr">
        <is>
          <t>1.2</t>
        </is>
      </c>
      <c r="B6" s="11" t="inlineStr">
        <is>
          <t>MinC</t>
        </is>
      </c>
      <c r="C6" s="15" t="n">
        <v>109</v>
      </c>
      <c r="D6" s="15" t="n">
        <v>116</v>
      </c>
      <c r="E6" s="16" t="n">
        <v>93.97</v>
      </c>
      <c r="F6" s="16" t="n">
        <v>95</v>
      </c>
      <c r="G6" s="27" t="inlineStr">
        <is>
          <t>Nao conforme</t>
        </is>
      </c>
      <c r="H6" s="16" t="n">
        <v>-1.03</v>
      </c>
      <c r="I6" s="15" t="n">
        <v>866.67</v>
      </c>
      <c r="J6" s="12" t="inlineStr">
        <is>
          <t>Requisições atendidas dentro do prazo</t>
        </is>
      </c>
    </row>
    <row r="7">
      <c r="A7" s="11" t="inlineStr">
        <is>
          <t>1.6</t>
        </is>
      </c>
      <c r="B7" s="11" t="inlineStr">
        <is>
          <t>MinC</t>
        </is>
      </c>
      <c r="C7" s="15" t="n">
        <v>2276</v>
      </c>
      <c r="D7" s="15" t="n">
        <v>2277</v>
      </c>
      <c r="E7" s="16" t="n">
        <v>99.95999999999999</v>
      </c>
      <c r="F7" s="16" t="n">
        <v>97</v>
      </c>
      <c r="G7" s="28" t="inlineStr">
        <is>
          <t>Conforme</t>
        </is>
      </c>
      <c r="H7" s="16" t="n">
        <v>2.96</v>
      </c>
      <c r="I7" s="15" t="n">
        <v>0</v>
      </c>
      <c r="J7" s="12" t="inlineStr">
        <is>
          <t>Eficácia no tratamento de chamados</t>
        </is>
      </c>
    </row>
    <row r="8">
      <c r="A8" s="11" t="inlineStr">
        <is>
          <t>1.7</t>
        </is>
      </c>
      <c r="B8" s="11" t="inlineStr">
        <is>
          <t>MinC</t>
        </is>
      </c>
      <c r="C8" s="15" t="n">
        <v>40</v>
      </c>
      <c r="D8" s="15" t="n">
        <v>1626</v>
      </c>
      <c r="E8" s="16" t="n">
        <v>2.46</v>
      </c>
      <c r="F8" s="16" t="n">
        <v>80</v>
      </c>
      <c r="G8" s="27" t="inlineStr">
        <is>
          <t>Nao conforme</t>
        </is>
      </c>
      <c r="H8" s="16" t="n">
        <v>-77.54000000000001</v>
      </c>
      <c r="I8" s="15" t="n">
        <v>19384.99</v>
      </c>
      <c r="J8" s="12" t="inlineStr">
        <is>
          <t>Satisfação dos usuários</t>
        </is>
      </c>
    </row>
    <row r="9">
      <c r="A9" s="11" t="inlineStr">
        <is>
          <t>1.11</t>
        </is>
      </c>
      <c r="B9" s="11" t="inlineStr">
        <is>
          <t>MinC</t>
        </is>
      </c>
      <c r="C9" s="15" t="n">
        <v>243</v>
      </c>
      <c r="D9" s="15" t="n">
        <v>492</v>
      </c>
      <c r="E9" s="16" t="n">
        <v>49.39</v>
      </c>
      <c r="F9" s="16" t="n">
        <v>5</v>
      </c>
      <c r="G9" s="27" t="inlineStr">
        <is>
          <t>Nao conforme</t>
        </is>
      </c>
      <c r="H9" s="16" t="n">
        <v>44.39</v>
      </c>
      <c r="I9" s="15" t="n">
        <v>2219.51</v>
      </c>
      <c r="J9" s="12" t="inlineStr">
        <is>
          <t>Índice de chamadas telefônicas abandonadas</t>
        </is>
      </c>
    </row>
    <row r="10">
      <c r="A10" s="11" t="inlineStr">
        <is>
          <t>1.12</t>
        </is>
      </c>
      <c r="B10" s="11" t="inlineStr">
        <is>
          <t>MinC</t>
        </is>
      </c>
      <c r="C10" s="15" t="n">
        <v>401</v>
      </c>
      <c r="D10" s="15" t="n">
        <v>492</v>
      </c>
      <c r="E10" s="16" t="n">
        <v>81.5</v>
      </c>
      <c r="F10" s="16" t="n">
        <v>95</v>
      </c>
      <c r="G10" s="27" t="inlineStr">
        <is>
          <t>Nao conforme</t>
        </is>
      </c>
      <c r="H10" s="16" t="n">
        <v>-13.5</v>
      </c>
      <c r="I10" s="15" t="n">
        <v>3373.98</v>
      </c>
      <c r="J10" s="12" t="inlineStr">
        <is>
          <t>Chamadas atendidas em até 20 segundos</t>
        </is>
      </c>
    </row>
    <row r="11">
      <c r="A11" s="11" t="inlineStr">
        <is>
          <t>1.13</t>
        </is>
      </c>
      <c r="B11" s="11" t="inlineStr">
        <is>
          <t>MinC</t>
        </is>
      </c>
      <c r="C11" s="15" t="n">
        <v>116</v>
      </c>
      <c r="D11" s="15" t="n">
        <v>116</v>
      </c>
      <c r="E11" s="16" t="n">
        <v>100</v>
      </c>
      <c r="F11" s="16" t="n"/>
      <c r="G11" s="26" t="inlineStr">
        <is>
          <t>N/D</t>
        </is>
      </c>
      <c r="H11" s="16" t="n"/>
      <c r="I11" s="15" t="n">
        <v>0</v>
      </c>
      <c r="J11" s="12" t="inlineStr">
        <is>
          <t>Chamados atendidos no Nível I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9" t="inlineStr">
        <is>
          <t>MTur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</row>
    <row r="14">
      <c r="A14" s="13" t="inlineStr">
        <is>
          <t>INMS</t>
        </is>
      </c>
      <c r="B14" s="13" t="inlineStr">
        <is>
          <t>Orgao</t>
        </is>
      </c>
      <c r="C14" s="14" t="inlineStr">
        <is>
          <t>Numerador</t>
        </is>
      </c>
      <c r="D14" s="14" t="inlineStr">
        <is>
          <t>Denominador</t>
        </is>
      </c>
      <c r="E14" s="14" t="inlineStr">
        <is>
          <t>Resultado</t>
        </is>
      </c>
      <c r="F14" s="14" t="inlineStr">
        <is>
          <t>Meta</t>
        </is>
      </c>
      <c r="G14" s="13" t="inlineStr">
        <is>
          <t>Conformidade</t>
        </is>
      </c>
      <c r="H14" s="14" t="inlineStr">
        <is>
          <t>Diferenca</t>
        </is>
      </c>
      <c r="I14" s="14" t="inlineStr">
        <is>
          <t>Glosa (pts)</t>
        </is>
      </c>
      <c r="J14" s="13" t="inlineStr">
        <is>
          <t>Observacao</t>
        </is>
      </c>
    </row>
    <row r="15">
      <c r="A15" s="11" t="inlineStr">
        <is>
          <t>1.1</t>
        </is>
      </c>
      <c r="B15" s="11" t="inlineStr">
        <is>
          <t>MTur</t>
        </is>
      </c>
      <c r="C15" s="15" t="n">
        <v>1</v>
      </c>
      <c r="D15" s="15" t="n">
        <v>1</v>
      </c>
      <c r="E15" s="16" t="n">
        <v>100</v>
      </c>
      <c r="F15" s="16" t="n">
        <v>98</v>
      </c>
      <c r="G15" s="28" t="inlineStr">
        <is>
          <t>Conforme</t>
        </is>
      </c>
      <c r="H15" s="16" t="n">
        <v>2</v>
      </c>
      <c r="I15" s="15" t="n">
        <v>0</v>
      </c>
      <c r="J15" s="12" t="inlineStr">
        <is>
          <t>Incidentes atendidos dentro do prazo</t>
        </is>
      </c>
    </row>
    <row r="16">
      <c r="A16" s="11" t="inlineStr">
        <is>
          <t>1.2</t>
        </is>
      </c>
      <c r="B16" s="11" t="inlineStr">
        <is>
          <t>MTur</t>
        </is>
      </c>
      <c r="C16" s="15" t="n">
        <v>96</v>
      </c>
      <c r="D16" s="15" t="n">
        <v>98</v>
      </c>
      <c r="E16" s="16" t="n">
        <v>97.95999999999999</v>
      </c>
      <c r="F16" s="16" t="n">
        <v>95</v>
      </c>
      <c r="G16" s="28" t="inlineStr">
        <is>
          <t>Conforme</t>
        </is>
      </c>
      <c r="H16" s="16" t="n">
        <v>2.96</v>
      </c>
      <c r="I16" s="15" t="n">
        <v>1222.22</v>
      </c>
      <c r="J16" s="12" t="inlineStr">
        <is>
          <t>Requisições atendidas dentro do prazo</t>
        </is>
      </c>
    </row>
    <row r="17">
      <c r="A17" s="11" t="inlineStr">
        <is>
          <t>1.6</t>
        </is>
      </c>
      <c r="B17" s="11" t="inlineStr">
        <is>
          <t>MTur</t>
        </is>
      </c>
      <c r="C17" s="15" t="n">
        <v>1032</v>
      </c>
      <c r="D17" s="15" t="n">
        <v>1035</v>
      </c>
      <c r="E17" s="16" t="n">
        <v>99.70999999999999</v>
      </c>
      <c r="F17" s="16" t="n">
        <v>97</v>
      </c>
      <c r="G17" s="28" t="inlineStr">
        <is>
          <t>Conforme</t>
        </is>
      </c>
      <c r="H17" s="16" t="n">
        <v>2.71</v>
      </c>
      <c r="I17" s="15" t="n">
        <v>0</v>
      </c>
      <c r="J17" s="12" t="inlineStr">
        <is>
          <t>Eficácia no tratamento de chamados</t>
        </is>
      </c>
    </row>
    <row r="18">
      <c r="A18" s="11" t="inlineStr">
        <is>
          <t>1.7</t>
        </is>
      </c>
      <c r="B18" s="11" t="inlineStr">
        <is>
          <t>MTur</t>
        </is>
      </c>
      <c r="C18" s="15" t="n">
        <v>0</v>
      </c>
      <c r="D18" s="15" t="n">
        <v>0</v>
      </c>
      <c r="E18" s="16" t="n"/>
      <c r="F18" s="16" t="n">
        <v>80</v>
      </c>
      <c r="G18" s="26" t="inlineStr">
        <is>
          <t>N/D</t>
        </is>
      </c>
      <c r="H18" s="16" t="n"/>
      <c r="I18" s="15" t="n">
        <v>0</v>
      </c>
      <c r="J18" s="12" t="inlineStr">
        <is>
          <t>Satisfação dos usuários</t>
        </is>
      </c>
    </row>
    <row r="19">
      <c r="A19" s="11" t="inlineStr">
        <is>
          <t>1.11</t>
        </is>
      </c>
      <c r="B19" s="11" t="inlineStr">
        <is>
          <t>MTur</t>
        </is>
      </c>
      <c r="C19" s="15" t="n">
        <v>211</v>
      </c>
      <c r="D19" s="15" t="n">
        <v>383</v>
      </c>
      <c r="E19" s="16" t="n">
        <v>55.09</v>
      </c>
      <c r="F19" s="16" t="n">
        <v>5</v>
      </c>
      <c r="G19" s="27" t="inlineStr">
        <is>
          <t>Nao conforme</t>
        </is>
      </c>
      <c r="H19" s="16" t="n">
        <v>50.09</v>
      </c>
      <c r="I19" s="15" t="n">
        <v>2504.57</v>
      </c>
      <c r="J19" s="12" t="inlineStr">
        <is>
          <t>Índice de chamadas telefônicas abandonadas</t>
        </is>
      </c>
    </row>
    <row r="20">
      <c r="A20" s="11" t="inlineStr">
        <is>
          <t>1.12</t>
        </is>
      </c>
      <c r="B20" s="11" t="inlineStr">
        <is>
          <t>MTur</t>
        </is>
      </c>
      <c r="C20" s="15" t="n">
        <v>344</v>
      </c>
      <c r="D20" s="15" t="n">
        <v>383</v>
      </c>
      <c r="E20" s="16" t="n">
        <v>89.81999999999999</v>
      </c>
      <c r="F20" s="16" t="n">
        <v>95</v>
      </c>
      <c r="G20" s="27" t="inlineStr">
        <is>
          <t>Nao conforme</t>
        </is>
      </c>
      <c r="H20" s="16" t="n">
        <v>-5.18</v>
      </c>
      <c r="I20" s="15" t="n">
        <v>1295.69</v>
      </c>
      <c r="J20" s="12" t="inlineStr">
        <is>
          <t>Chamadas atendidas em até 20 segundos</t>
        </is>
      </c>
    </row>
    <row r="21">
      <c r="A21" s="11" t="inlineStr">
        <is>
          <t>1.13</t>
        </is>
      </c>
      <c r="B21" s="11" t="inlineStr">
        <is>
          <t>MTur</t>
        </is>
      </c>
      <c r="C21" s="15" t="n">
        <v>99</v>
      </c>
      <c r="D21" s="15" t="n">
        <v>99</v>
      </c>
      <c r="E21" s="16" t="n">
        <v>100</v>
      </c>
      <c r="F21" s="16" t="n"/>
      <c r="G21" s="26" t="inlineStr">
        <is>
          <t>N/D</t>
        </is>
      </c>
      <c r="H21" s="16" t="n"/>
      <c r="I21" s="15" t="n">
        <v>0</v>
      </c>
      <c r="J21" s="12" t="inlineStr">
        <is>
          <t>Chamados atendidos no Nível I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1" t="inlineStr">
        <is>
          <t>Consolidado</t>
        </is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</row>
    <row r="24">
      <c r="A24" s="13" t="inlineStr">
        <is>
          <t>INMS</t>
        </is>
      </c>
      <c r="B24" s="13" t="inlineStr">
        <is>
          <t>Orgao</t>
        </is>
      </c>
      <c r="C24" s="14" t="inlineStr">
        <is>
          <t>Numerador</t>
        </is>
      </c>
      <c r="D24" s="14" t="inlineStr">
        <is>
          <t>Denominador</t>
        </is>
      </c>
      <c r="E24" s="14" t="inlineStr">
        <is>
          <t>Resultado</t>
        </is>
      </c>
      <c r="F24" s="14" t="inlineStr">
        <is>
          <t>Meta</t>
        </is>
      </c>
      <c r="G24" s="13" t="inlineStr">
        <is>
          <t>Conformidade</t>
        </is>
      </c>
      <c r="H24" s="14" t="inlineStr">
        <is>
          <t>Diferenca</t>
        </is>
      </c>
      <c r="I24" s="14" t="inlineStr">
        <is>
          <t>Glosa (pts)</t>
        </is>
      </c>
      <c r="J24" s="13" t="inlineStr">
        <is>
          <t>Observacao</t>
        </is>
      </c>
    </row>
    <row r="25">
      <c r="A25" s="11" t="inlineStr">
        <is>
          <t>1.1</t>
        </is>
      </c>
      <c r="B25" s="11" t="inlineStr">
        <is>
          <t>Consolidado</t>
        </is>
      </c>
      <c r="C25" s="15" t="n">
        <v>1</v>
      </c>
      <c r="D25" s="15" t="n">
        <v>1</v>
      </c>
      <c r="E25" s="16" t="n">
        <v>100</v>
      </c>
      <c r="F25" s="16" t="n">
        <v>98</v>
      </c>
      <c r="G25" s="28" t="inlineStr">
        <is>
          <t>Conforme</t>
        </is>
      </c>
      <c r="H25" s="16" t="n">
        <v>2</v>
      </c>
      <c r="I25" s="15" t="n">
        <v>0</v>
      </c>
      <c r="J25" s="12" t="inlineStr">
        <is>
          <t>Incidentes atendidos dentro do prazo</t>
        </is>
      </c>
    </row>
    <row r="26">
      <c r="A26" s="11" t="inlineStr">
        <is>
          <t>1.2</t>
        </is>
      </c>
      <c r="B26" s="11" t="inlineStr">
        <is>
          <t>Consolidado</t>
        </is>
      </c>
      <c r="C26" s="15" t="n">
        <v>205</v>
      </c>
      <c r="D26" s="15" t="n">
        <v>214</v>
      </c>
      <c r="E26" s="16" t="n">
        <v>95.79000000000001</v>
      </c>
      <c r="F26" s="16" t="n">
        <v>95</v>
      </c>
      <c r="G26" s="28" t="inlineStr">
        <is>
          <t>Conforme</t>
        </is>
      </c>
      <c r="H26" s="16" t="n">
        <v>0.79</v>
      </c>
      <c r="I26" s="15" t="n">
        <v>2088.89</v>
      </c>
      <c r="J26" s="12" t="inlineStr">
        <is>
          <t>Requisições atendidas dentro do prazo</t>
        </is>
      </c>
    </row>
    <row r="27">
      <c r="A27" s="11" t="inlineStr">
        <is>
          <t>1.6</t>
        </is>
      </c>
      <c r="B27" s="11" t="inlineStr">
        <is>
          <t>Consolidado</t>
        </is>
      </c>
      <c r="C27" s="15" t="n">
        <v>3308</v>
      </c>
      <c r="D27" s="15" t="n">
        <v>3312</v>
      </c>
      <c r="E27" s="16" t="n">
        <v>99.88</v>
      </c>
      <c r="F27" s="16" t="n">
        <v>97</v>
      </c>
      <c r="G27" s="28" t="inlineStr">
        <is>
          <t>Conforme</t>
        </is>
      </c>
      <c r="H27" s="16" t="n">
        <v>2.88</v>
      </c>
      <c r="I27" s="15" t="n">
        <v>0</v>
      </c>
      <c r="J27" s="12" t="inlineStr">
        <is>
          <t>Eficácia no tratamento de chamados</t>
        </is>
      </c>
    </row>
    <row r="28">
      <c r="A28" s="11" t="inlineStr">
        <is>
          <t>1.7</t>
        </is>
      </c>
      <c r="B28" s="11" t="inlineStr">
        <is>
          <t>Consolidado</t>
        </is>
      </c>
      <c r="C28" s="15" t="n">
        <v>40</v>
      </c>
      <c r="D28" s="15" t="n">
        <v>1626</v>
      </c>
      <c r="E28" s="16" t="n">
        <v>2.46</v>
      </c>
      <c r="F28" s="16" t="n">
        <v>80</v>
      </c>
      <c r="G28" s="27" t="inlineStr">
        <is>
          <t>Nao conforme</t>
        </is>
      </c>
      <c r="H28" s="16" t="n">
        <v>-77.54000000000001</v>
      </c>
      <c r="I28" s="15" t="n">
        <v>19384.99</v>
      </c>
      <c r="J28" s="12" t="inlineStr">
        <is>
          <t>Satisfação dos usuários</t>
        </is>
      </c>
    </row>
    <row r="29">
      <c r="A29" s="11" t="inlineStr">
        <is>
          <t>1.11</t>
        </is>
      </c>
      <c r="B29" s="11" t="inlineStr">
        <is>
          <t>Consolidado</t>
        </is>
      </c>
      <c r="C29" s="15" t="n">
        <v>454</v>
      </c>
      <c r="D29" s="15" t="n">
        <v>875</v>
      </c>
      <c r="E29" s="16" t="n">
        <v>51.89</v>
      </c>
      <c r="F29" s="16" t="n">
        <v>5</v>
      </c>
      <c r="G29" s="27" t="inlineStr">
        <is>
          <t>Nao conforme</t>
        </is>
      </c>
      <c r="H29" s="16" t="n">
        <v>46.89</v>
      </c>
      <c r="I29" s="15" t="n">
        <v>4724.08</v>
      </c>
      <c r="J29" s="12" t="inlineStr">
        <is>
          <t>Índice de chamadas telefônicas abandonadas</t>
        </is>
      </c>
    </row>
    <row r="30">
      <c r="A30" s="11" t="inlineStr">
        <is>
          <t>1.12</t>
        </is>
      </c>
      <c r="B30" s="11" t="inlineStr">
        <is>
          <t>Consolidado</t>
        </is>
      </c>
      <c r="C30" s="15" t="n">
        <v>745</v>
      </c>
      <c r="D30" s="15" t="n">
        <v>875</v>
      </c>
      <c r="E30" s="16" t="n">
        <v>85.14</v>
      </c>
      <c r="F30" s="16" t="n">
        <v>95</v>
      </c>
      <c r="G30" s="27" t="inlineStr">
        <is>
          <t>Nao conforme</t>
        </is>
      </c>
      <c r="H30" s="16" t="n">
        <v>-9.859999999999999</v>
      </c>
      <c r="I30" s="15" t="n">
        <v>4669.67</v>
      </c>
      <c r="J30" s="12" t="inlineStr">
        <is>
          <t>Chamadas atendidas em até 20 segundos</t>
        </is>
      </c>
    </row>
    <row r="31">
      <c r="A31" s="11" t="inlineStr">
        <is>
          <t>1.13</t>
        </is>
      </c>
      <c r="B31" s="11" t="inlineStr">
        <is>
          <t>Consolidado</t>
        </is>
      </c>
      <c r="C31" s="15" t="n">
        <v>215</v>
      </c>
      <c r="D31" s="15" t="n">
        <v>215</v>
      </c>
      <c r="E31" s="16" t="n">
        <v>100</v>
      </c>
      <c r="F31" s="16" t="n"/>
      <c r="G31" s="26" t="inlineStr">
        <is>
          <t>N/D</t>
        </is>
      </c>
      <c r="H31" s="16" t="n"/>
      <c r="I31" s="15" t="n">
        <v>0</v>
      </c>
      <c r="J31" s="12" t="inlineStr">
        <is>
          <t>Chamados atendidos no Nível I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9" t="inlineStr">
        <is>
          <t>Nota: Indicadores telefonicos (1.11, 1.12) compartilhados MinC/MTur. Separacao por FILA quando disponivel.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inlineStr">
        <is>
          <t>Detalhamento 1.2 por Prioridade: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12" t="inlineStr">
        <is>
          <t>1.2 - MinC - Alta</t>
        </is>
      </c>
      <c r="B36" s="2" t="n"/>
      <c r="C36" s="15" t="n">
        <v>68</v>
      </c>
      <c r="D36" s="15" t="n">
        <v>75</v>
      </c>
      <c r="E36" s="16" t="n">
        <v>90.67</v>
      </c>
      <c r="F36" s="2" t="n"/>
      <c r="G36" s="11" t="inlineStr">
        <is>
          <t>Nao conforme</t>
        </is>
      </c>
      <c r="H36" s="2" t="n"/>
      <c r="I36" s="15" t="n">
        <v>866.67</v>
      </c>
      <c r="J36" s="2" t="n"/>
    </row>
    <row r="37">
      <c r="A37" s="12" t="inlineStr">
        <is>
          <t>1.2 - MinC - Média</t>
        </is>
      </c>
      <c r="B37" s="2" t="n"/>
      <c r="C37" s="15" t="n">
        <v>40</v>
      </c>
      <c r="D37" s="15" t="n">
        <v>40</v>
      </c>
      <c r="E37" s="16" t="n">
        <v>100</v>
      </c>
      <c r="F37" s="2" t="n"/>
      <c r="G37" s="11" t="inlineStr">
        <is>
          <t>Conforme</t>
        </is>
      </c>
      <c r="H37" s="2" t="n"/>
      <c r="I37" s="15" t="n">
        <v>0</v>
      </c>
      <c r="J37" s="2" t="n"/>
    </row>
    <row r="38">
      <c r="A38" s="12" t="inlineStr">
        <is>
          <t>1.2 - MinC - Baixa</t>
        </is>
      </c>
      <c r="B38" s="2" t="n"/>
      <c r="C38" s="15" t="n">
        <v>1</v>
      </c>
      <c r="D38" s="15" t="n">
        <v>1</v>
      </c>
      <c r="E38" s="16" t="n">
        <v>100</v>
      </c>
      <c r="F38" s="2" t="n"/>
      <c r="G38" s="11" t="inlineStr">
        <is>
          <t>Conforme</t>
        </is>
      </c>
      <c r="H38" s="2" t="n"/>
      <c r="I38" s="15" t="n">
        <v>0</v>
      </c>
      <c r="J38" s="2" t="n"/>
    </row>
    <row r="39">
      <c r="A39" s="12" t="inlineStr">
        <is>
          <t>1.2 - MTur - Alta</t>
        </is>
      </c>
      <c r="B39" s="2" t="n"/>
      <c r="C39" s="15" t="n">
        <v>16</v>
      </c>
      <c r="D39" s="15" t="n">
        <v>18</v>
      </c>
      <c r="E39" s="16" t="n">
        <v>88.89</v>
      </c>
      <c r="F39" s="2" t="n"/>
      <c r="G39" s="11" t="inlineStr">
        <is>
          <t>Nao conforme</t>
        </is>
      </c>
      <c r="H39" s="2" t="n"/>
      <c r="I39" s="15" t="n">
        <v>1222.22</v>
      </c>
      <c r="J39" s="2" t="n"/>
    </row>
    <row r="40">
      <c r="A40" s="12" t="inlineStr">
        <is>
          <t>1.2 - MTur - Média</t>
        </is>
      </c>
      <c r="B40" s="2" t="n"/>
      <c r="C40" s="15" t="n">
        <v>80</v>
      </c>
      <c r="D40" s="15" t="n">
        <v>80</v>
      </c>
      <c r="E40" s="16" t="n">
        <v>100</v>
      </c>
      <c r="F40" s="2" t="n"/>
      <c r="G40" s="11" t="inlineStr">
        <is>
          <t>Conforme</t>
        </is>
      </c>
      <c r="H40" s="2" t="n"/>
      <c r="I40" s="15" t="n">
        <v>0</v>
      </c>
      <c r="J40" s="2" t="n"/>
    </row>
    <row r="41">
      <c r="A41" s="12" t="inlineStr">
        <is>
          <t>1.2 - MTur - Baixa</t>
        </is>
      </c>
      <c r="B41" s="2" t="n"/>
      <c r="C41" s="15" t="n">
        <v>0</v>
      </c>
      <c r="D41" s="15" t="n">
        <v>0</v>
      </c>
      <c r="E41" s="16" t="n">
        <v>100</v>
      </c>
      <c r="F41" s="2" t="n"/>
      <c r="G41" s="11" t="inlineStr">
        <is>
          <t>Conforme</t>
        </is>
      </c>
      <c r="H41" s="2" t="n"/>
      <c r="I41" s="15" t="n">
        <v>0</v>
      </c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3" t="inlineStr">
        <is>
          <t>Chamados Suspensos (06):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12" t="inlineStr">
        <is>
          <t>MinC: 1 chamado(s) suspenso(s)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12" t="inlineStr">
        <is>
          <t>MTur: 1 chamado(s) suspenso(s)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15" customWidth="1" min="4" max="4"/>
    <col width="20" customWidth="1" min="5" max="5"/>
    <col width="22" customWidth="1" min="6" max="6"/>
    <col width="26" customWidth="1" min="7" max="7"/>
    <col width="27" customWidth="1" min="8" max="8"/>
    <col width="8" customWidth="1" min="9" max="9"/>
    <col width="16" customWidth="1" min="10" max="10"/>
  </cols>
  <sheetData>
    <row r="1">
      <c r="A1" s="1" t="inlineStr">
        <is>
          <t>MONITORAMENTO NOC/SOC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10" t="inlineStr">
        <is>
          <t>Execução 18/08/2026 | Dados: 49 dias | Responsável: Maria Aparecida Gomes</t>
        </is>
      </c>
    </row>
    <row r="3">
      <c r="A3" s="24" t="inlineStr">
        <is>
          <t>MinC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>
      <c r="A4" s="13" t="inlineStr">
        <is>
          <t>INMS</t>
        </is>
      </c>
      <c r="B4" s="13" t="inlineStr">
        <is>
          <t>Orgao</t>
        </is>
      </c>
      <c r="C4" s="13" t="inlineStr">
        <is>
          <t>Sistema/Servico</t>
        </is>
      </c>
      <c r="D4" s="13" t="inlineStr">
        <is>
          <t>Criticidade</t>
        </is>
      </c>
      <c r="E4" s="13" t="inlineStr">
        <is>
          <t>Periodo Previsto</t>
        </is>
      </c>
      <c r="F4" s="14" t="inlineStr">
        <is>
          <t>Indisp. Programada</t>
        </is>
      </c>
      <c r="G4" s="14" t="inlineStr">
        <is>
          <t>Indisp. Nao Programada</t>
        </is>
      </c>
      <c r="H4" s="14" t="inlineStr">
        <is>
          <t>Disponibilidade Apurada</t>
        </is>
      </c>
      <c r="I4" s="14" t="inlineStr">
        <is>
          <t>Meta</t>
        </is>
      </c>
      <c r="J4" s="13" t="inlineStr">
        <is>
          <t>Conformidade</t>
        </is>
      </c>
    </row>
    <row r="5">
      <c r="A5" s="11" t="inlineStr">
        <is>
          <t>1.4</t>
        </is>
      </c>
      <c r="B5" s="11" t="inlineStr">
        <is>
          <t>MinC</t>
        </is>
      </c>
      <c r="C5" s="12" t="inlineStr">
        <is>
          <t>Disponibilidade de sistema/serviço crítico</t>
        </is>
      </c>
      <c r="D5" s="12" t="inlineStr"/>
      <c r="E5" s="12" t="inlineStr"/>
      <c r="F5" s="16" t="inlineStr"/>
      <c r="G5" s="16" t="inlineStr"/>
      <c r="H5" s="16" t="n">
        <v>98.95</v>
      </c>
      <c r="I5" s="16" t="n">
        <v>99.5</v>
      </c>
      <c r="J5" s="27" t="inlineStr">
        <is>
          <t>Nao conforme</t>
        </is>
      </c>
    </row>
    <row r="6">
      <c r="A6" s="11" t="inlineStr">
        <is>
          <t>1.5</t>
        </is>
      </c>
      <c r="B6" s="11" t="inlineStr">
        <is>
          <t>MinC</t>
        </is>
      </c>
      <c r="C6" s="12" t="inlineStr">
        <is>
          <t>Disponibilidade de sistema/serviço não-crítico</t>
        </is>
      </c>
      <c r="D6" s="12" t="inlineStr"/>
      <c r="E6" s="12" t="inlineStr"/>
      <c r="F6" s="16" t="inlineStr"/>
      <c r="G6" s="16" t="inlineStr"/>
      <c r="H6" s="16" t="n">
        <v>99.31</v>
      </c>
      <c r="I6" s="16" t="n">
        <v>99</v>
      </c>
      <c r="J6" s="28" t="inlineStr">
        <is>
          <t>Conforme</t>
        </is>
      </c>
    </row>
    <row r="7">
      <c r="A7" s="11" t="inlineStr">
        <is>
          <t>1.14</t>
        </is>
      </c>
      <c r="B7" s="11" t="inlineStr">
        <is>
          <t>MinC</t>
        </is>
      </c>
      <c r="C7" s="12" t="inlineStr">
        <is>
          <t>Disponibilidade de serviços de infraestrutura</t>
        </is>
      </c>
      <c r="D7" s="12" t="inlineStr"/>
      <c r="E7" s="12" t="inlineStr"/>
      <c r="F7" s="16" t="inlineStr"/>
      <c r="G7" s="16" t="inlineStr"/>
      <c r="H7" s="16" t="n">
        <v>95.01000000000001</v>
      </c>
      <c r="I7" s="16" t="n">
        <v>99.5</v>
      </c>
      <c r="J7" s="27" t="inlineStr">
        <is>
          <t>Nao conforme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9" t="inlineStr">
        <is>
          <t>MTur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</row>
    <row r="10">
      <c r="A10" s="13" t="inlineStr">
        <is>
          <t>INMS</t>
        </is>
      </c>
      <c r="B10" s="13" t="inlineStr">
        <is>
          <t>Orgao</t>
        </is>
      </c>
      <c r="C10" s="13" t="inlineStr">
        <is>
          <t>Sistema/Servico</t>
        </is>
      </c>
      <c r="D10" s="13" t="inlineStr">
        <is>
          <t>Criticidade</t>
        </is>
      </c>
      <c r="E10" s="13" t="inlineStr">
        <is>
          <t>Periodo Previsto</t>
        </is>
      </c>
      <c r="F10" s="14" t="inlineStr">
        <is>
          <t>Indisp. Programada</t>
        </is>
      </c>
      <c r="G10" s="14" t="inlineStr">
        <is>
          <t>Indisp. Nao Programada</t>
        </is>
      </c>
      <c r="H10" s="14" t="inlineStr">
        <is>
          <t>Disponibilidade Apurada</t>
        </is>
      </c>
      <c r="I10" s="14" t="inlineStr">
        <is>
          <t>Meta</t>
        </is>
      </c>
      <c r="J10" s="13" t="inlineStr">
        <is>
          <t>Conformidade</t>
        </is>
      </c>
    </row>
    <row r="11">
      <c r="A11" s="11" t="inlineStr">
        <is>
          <t>1.4</t>
        </is>
      </c>
      <c r="B11" s="11" t="inlineStr">
        <is>
          <t>MTur</t>
        </is>
      </c>
      <c r="C11" s="12" t="inlineStr">
        <is>
          <t>Disponibilidade de sistema/serviço crítico</t>
        </is>
      </c>
      <c r="D11" s="12" t="inlineStr"/>
      <c r="E11" s="12" t="inlineStr"/>
      <c r="F11" s="16" t="inlineStr"/>
      <c r="G11" s="16" t="inlineStr"/>
      <c r="H11" s="16" t="n">
        <v>100</v>
      </c>
      <c r="I11" s="16" t="n">
        <v>99.5</v>
      </c>
      <c r="J11" s="28" t="inlineStr">
        <is>
          <t>Conforme</t>
        </is>
      </c>
    </row>
    <row r="12">
      <c r="A12" s="11" t="inlineStr">
        <is>
          <t>1.5</t>
        </is>
      </c>
      <c r="B12" s="11" t="inlineStr">
        <is>
          <t>MTur</t>
        </is>
      </c>
      <c r="C12" s="12" t="inlineStr">
        <is>
          <t>Disponibilidade de sistema/serviço não-crítico</t>
        </is>
      </c>
      <c r="D12" s="12" t="inlineStr"/>
      <c r="E12" s="12" t="inlineStr"/>
      <c r="F12" s="16" t="inlineStr"/>
      <c r="G12" s="16" t="inlineStr"/>
      <c r="H12" s="16" t="n">
        <v>100</v>
      </c>
      <c r="I12" s="16" t="n">
        <v>99</v>
      </c>
      <c r="J12" s="28" t="inlineStr">
        <is>
          <t>Conforme</t>
        </is>
      </c>
    </row>
    <row r="13">
      <c r="A13" s="11" t="inlineStr">
        <is>
          <t>1.14</t>
        </is>
      </c>
      <c r="B13" s="11" t="inlineStr">
        <is>
          <t>MTur</t>
        </is>
      </c>
      <c r="C13" s="12" t="inlineStr">
        <is>
          <t>Disponibilidade de serviços de infraestrutura</t>
        </is>
      </c>
      <c r="D13" s="12" t="inlineStr"/>
      <c r="E13" s="12" t="inlineStr"/>
      <c r="F13" s="16" t="inlineStr"/>
      <c r="G13" s="16" t="inlineStr"/>
      <c r="H13" s="16" t="n">
        <v>100</v>
      </c>
      <c r="I13" s="16" t="n">
        <v>99.5</v>
      </c>
      <c r="J13" s="28" t="inlineStr">
        <is>
          <t>Conforme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1" t="inlineStr">
        <is>
          <t>Consolidado</t>
        </is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</row>
    <row r="16">
      <c r="A16" s="13" t="inlineStr">
        <is>
          <t>INMS</t>
        </is>
      </c>
      <c r="B16" s="13" t="inlineStr">
        <is>
          <t>Orgao</t>
        </is>
      </c>
      <c r="C16" s="13" t="inlineStr">
        <is>
          <t>Sistema/Servico</t>
        </is>
      </c>
      <c r="D16" s="13" t="inlineStr">
        <is>
          <t>Criticidade</t>
        </is>
      </c>
      <c r="E16" s="13" t="inlineStr">
        <is>
          <t>Periodo Previsto</t>
        </is>
      </c>
      <c r="F16" s="14" t="inlineStr">
        <is>
          <t>Indisp. Programada</t>
        </is>
      </c>
      <c r="G16" s="14" t="inlineStr">
        <is>
          <t>Indisp. Nao Programada</t>
        </is>
      </c>
      <c r="H16" s="14" t="inlineStr">
        <is>
          <t>Disponibilidade Apurada</t>
        </is>
      </c>
      <c r="I16" s="14" t="inlineStr">
        <is>
          <t>Meta</t>
        </is>
      </c>
      <c r="J16" s="13" t="inlineStr">
        <is>
          <t>Conformidade</t>
        </is>
      </c>
    </row>
    <row r="17">
      <c r="A17" s="11" t="inlineStr">
        <is>
          <t>1.4</t>
        </is>
      </c>
      <c r="B17" s="11" t="inlineStr">
        <is>
          <t>Consolidado</t>
        </is>
      </c>
      <c r="C17" s="12" t="inlineStr">
        <is>
          <t>Disponibilidade de sistema/serviço crítico</t>
        </is>
      </c>
      <c r="D17" s="12" t="inlineStr"/>
      <c r="E17" s="12" t="inlineStr"/>
      <c r="F17" s="16" t="inlineStr"/>
      <c r="G17" s="16" t="inlineStr"/>
      <c r="H17" s="16" t="n">
        <v>99.47</v>
      </c>
      <c r="I17" s="16" t="n">
        <v>99.5</v>
      </c>
      <c r="J17" s="27" t="inlineStr">
        <is>
          <t>Nao conforme</t>
        </is>
      </c>
    </row>
    <row r="18">
      <c r="A18" s="11" t="inlineStr">
        <is>
          <t>1.5</t>
        </is>
      </c>
      <c r="B18" s="11" t="inlineStr">
        <is>
          <t>Consolidado</t>
        </is>
      </c>
      <c r="C18" s="12" t="inlineStr">
        <is>
          <t>Disponibilidade de sistema/serviço não-crítico</t>
        </is>
      </c>
      <c r="D18" s="12" t="inlineStr"/>
      <c r="E18" s="12" t="inlineStr"/>
      <c r="F18" s="16" t="inlineStr"/>
      <c r="G18" s="16" t="inlineStr"/>
      <c r="H18" s="16" t="n">
        <v>99.66</v>
      </c>
      <c r="I18" s="16" t="n">
        <v>99</v>
      </c>
      <c r="J18" s="28" t="inlineStr">
        <is>
          <t>Conforme</t>
        </is>
      </c>
    </row>
    <row r="19">
      <c r="A19" s="11" t="inlineStr">
        <is>
          <t>1.14</t>
        </is>
      </c>
      <c r="B19" s="11" t="inlineStr">
        <is>
          <t>Consolidado</t>
        </is>
      </c>
      <c r="C19" s="12" t="inlineStr">
        <is>
          <t>Disponibilidade de serviços de infraestrutura</t>
        </is>
      </c>
      <c r="D19" s="12" t="inlineStr"/>
      <c r="E19" s="12" t="inlineStr"/>
      <c r="F19" s="16" t="inlineStr"/>
      <c r="G19" s="16" t="inlineStr"/>
      <c r="H19" s="16" t="n">
        <v>97.5</v>
      </c>
      <c r="I19" s="16" t="n">
        <v>99.5</v>
      </c>
      <c r="J19" s="27" t="inlineStr">
        <is>
          <t>Nao conforme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inlineStr">
        <is>
          <t>[ATENCAO] 1.4 MinC: Resultado apurado a partir de um único valor consolidado (blend). Conformidade por sistema/serviço crítico (Anexo D) NÃO avaliada. Classificação roadmap §4: 'Compartilhado, sem segregação técnica disponível'.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[ATENCAO] 1.5 MinC: Resultado apurado a partir de um único valor consolidado (blend). Conformidade por sistema/serviço não-crítico (Anexo D) NÃO avaliada. Classificação roadmap §4: 'Compartilhado, sem segregação técnica disponível'.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7" t="inlineStr">
        <is>
          <t>[ATENCAO] 1.14 MinC: Resultado apurado a partir de um único valor consolidado (blend). Conformidade por serviço de infraestrutura (Anexo D) NÃO avaliada. Classificação roadmap §4: 'Compartilhado, sem segregação técnica disponível'.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7" t="inlineStr">
        <is>
          <t>[ATENCAO] 1.4 MTur: Resultado apurado a partir de um único valor consolidado (blend). Conformidade por sistema/serviço crítico (Anexo D) NÃO avaliada. Classificação roadmap §4: 'Compartilhado, sem segregação técnica disponível'.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7" t="inlineStr">
        <is>
          <t>[ATENCAO] 1.5 MTur: Resultado apurado a partir de um único valor consolidado (blend). Conformidade por sistema/serviço não-crítico (Anexo D) NÃO avaliada. Classificação roadmap §4: 'Compartilhado, sem segregação técnica disponível'.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7" t="inlineStr">
        <is>
          <t>[ATENCAO] 1.14 MTur: Resultado apurado a partir de um único valor consolidado (blend). Conformidade por serviço de infraestrutura (Anexo D) NÃO avaliada. Classificação roadmap §4: 'Compartilhado, sem segregação técnica disponível'.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8" customWidth="1" min="4" max="4"/>
    <col width="16" customWidth="1" min="5" max="5"/>
    <col width="28" customWidth="1" min="6" max="6"/>
  </cols>
  <sheetData>
    <row r="1">
      <c r="A1" s="1" t="inlineStr">
        <is>
          <t>ATENDIMENTO PRESENCIAL N2</t>
        </is>
      </c>
      <c r="B1" s="2" t="n"/>
      <c r="C1" s="2" t="n"/>
      <c r="D1" s="2" t="n"/>
      <c r="E1" s="2" t="n"/>
      <c r="F1" s="2" t="n"/>
      <c r="I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I2" s="10" t="inlineStr">
        <is>
          <t>Execução 18/08/2026 | Dados: 49 dias | Responsável: Maria Aparecida Gomes</t>
        </is>
      </c>
    </row>
    <row r="3">
      <c r="A3" s="24" t="inlineStr">
        <is>
          <t>MinC</t>
        </is>
      </c>
      <c r="B3" s="2" t="n"/>
      <c r="C3" s="2" t="n"/>
      <c r="D3" s="2" t="n"/>
      <c r="E3" s="2" t="n"/>
      <c r="F3" s="2" t="n"/>
    </row>
    <row r="4">
      <c r="A4" s="13" t="inlineStr">
        <is>
          <t>INMS</t>
        </is>
      </c>
      <c r="B4" s="13" t="inlineStr">
        <is>
          <t>Orgao</t>
        </is>
      </c>
      <c r="C4" s="14" t="inlineStr">
        <is>
          <t>Resultado</t>
        </is>
      </c>
      <c r="D4" s="14" t="inlineStr">
        <is>
          <t>Meta</t>
        </is>
      </c>
      <c r="E4" s="13" t="inlineStr">
        <is>
          <t>Conformidade</t>
        </is>
      </c>
      <c r="F4" s="13" t="inlineStr">
        <is>
          <t>Observacao</t>
        </is>
      </c>
    </row>
    <row r="5">
      <c r="A5" s="11" t="inlineStr">
        <is>
          <t>1.1</t>
        </is>
      </c>
      <c r="B5" s="11" t="inlineStr">
        <is>
          <t>MinC</t>
        </is>
      </c>
      <c r="C5" s="12" t="inlineStr">
        <is>
          <t>N/A</t>
        </is>
      </c>
      <c r="D5" s="16" t="n">
        <v>98</v>
      </c>
      <c r="E5" s="11" t="inlineStr">
        <is>
          <t>N/A</t>
        </is>
      </c>
      <c r="F5" s="12" t="inlineStr">
        <is>
          <t>Nao aplicavel no periodo</t>
        </is>
      </c>
    </row>
    <row r="6">
      <c r="A6" s="11" t="inlineStr">
        <is>
          <t>1.2</t>
        </is>
      </c>
      <c r="B6" s="11" t="inlineStr">
        <is>
          <t>MinC</t>
        </is>
      </c>
      <c r="C6" s="12" t="inlineStr">
        <is>
          <t>N/A</t>
        </is>
      </c>
      <c r="D6" s="16" t="n">
        <v>95</v>
      </c>
      <c r="E6" s="11" t="inlineStr">
        <is>
          <t>N/A</t>
        </is>
      </c>
      <c r="F6" s="12" t="inlineStr">
        <is>
          <t>Nao aplicavel no periodo</t>
        </is>
      </c>
    </row>
    <row r="7">
      <c r="A7" s="11" t="inlineStr">
        <is>
          <t>1.6</t>
        </is>
      </c>
      <c r="B7" s="11" t="inlineStr">
        <is>
          <t>MinC</t>
        </is>
      </c>
      <c r="C7" s="12" t="inlineStr">
        <is>
          <t>N/A</t>
        </is>
      </c>
      <c r="D7" s="16" t="n">
        <v>97</v>
      </c>
      <c r="E7" s="11" t="inlineStr">
        <is>
          <t>N/A</t>
        </is>
      </c>
      <c r="F7" s="12" t="inlineStr">
        <is>
          <t>Nao aplicavel no periodo</t>
        </is>
      </c>
    </row>
    <row r="8">
      <c r="A8" s="11" t="inlineStr">
        <is>
          <t>1.7</t>
        </is>
      </c>
      <c r="B8" s="11" t="inlineStr">
        <is>
          <t>MinC</t>
        </is>
      </c>
      <c r="C8" s="12" t="inlineStr">
        <is>
          <t>N/A</t>
        </is>
      </c>
      <c r="D8" s="16" t="n">
        <v>80</v>
      </c>
      <c r="E8" s="11" t="inlineStr">
        <is>
          <t>N/A</t>
        </is>
      </c>
      <c r="F8" s="12" t="inlineStr">
        <is>
          <t>Nao aplicavel no periodo</t>
        </is>
      </c>
    </row>
    <row r="9">
      <c r="A9" s="11" t="inlineStr">
        <is>
          <t>1.9</t>
        </is>
      </c>
      <c r="B9" s="11" t="inlineStr">
        <is>
          <t>MinC</t>
        </is>
      </c>
      <c r="C9" s="12" t="inlineStr">
        <is>
          <t>N/A</t>
        </is>
      </c>
      <c r="D9" s="16" t="n">
        <v>90</v>
      </c>
      <c r="E9" s="11" t="inlineStr">
        <is>
          <t>N/A</t>
        </is>
      </c>
      <c r="F9" s="12" t="inlineStr">
        <is>
          <t>Nao aplicavel no periodo</t>
        </is>
      </c>
    </row>
    <row r="10">
      <c r="A10" s="2" t="n"/>
      <c r="B10" s="2" t="n"/>
      <c r="C10" s="2" t="n"/>
      <c r="D10" s="2" t="n"/>
      <c r="E10" s="2" t="n"/>
      <c r="F10" s="2" t="n"/>
    </row>
    <row r="11">
      <c r="A11" s="29" t="inlineStr">
        <is>
          <t>MTur</t>
        </is>
      </c>
      <c r="B11" s="2" t="n"/>
      <c r="C11" s="2" t="n"/>
      <c r="D11" s="2" t="n"/>
      <c r="E11" s="2" t="n"/>
      <c r="F11" s="2" t="n"/>
    </row>
    <row r="12">
      <c r="A12" s="13" t="inlineStr">
        <is>
          <t>INMS</t>
        </is>
      </c>
      <c r="B12" s="13" t="inlineStr">
        <is>
          <t>Orgao</t>
        </is>
      </c>
      <c r="C12" s="14" t="inlineStr">
        <is>
          <t>Resultado</t>
        </is>
      </c>
      <c r="D12" s="14" t="inlineStr">
        <is>
          <t>Meta</t>
        </is>
      </c>
      <c r="E12" s="13" t="inlineStr">
        <is>
          <t>Conformidade</t>
        </is>
      </c>
      <c r="F12" s="13" t="inlineStr">
        <is>
          <t>Observacao</t>
        </is>
      </c>
    </row>
    <row r="13">
      <c r="A13" s="11" t="inlineStr">
        <is>
          <t>1.1</t>
        </is>
      </c>
      <c r="B13" s="11" t="inlineStr">
        <is>
          <t>MTur</t>
        </is>
      </c>
      <c r="C13" s="12" t="inlineStr">
        <is>
          <t>N/A</t>
        </is>
      </c>
      <c r="D13" s="16" t="n">
        <v>98</v>
      </c>
      <c r="E13" s="11" t="inlineStr">
        <is>
          <t>N/A</t>
        </is>
      </c>
      <c r="F13" s="12" t="inlineStr">
        <is>
          <t>Nao aplicavel no periodo</t>
        </is>
      </c>
    </row>
    <row r="14">
      <c r="A14" s="11" t="inlineStr">
        <is>
          <t>1.2</t>
        </is>
      </c>
      <c r="B14" s="11" t="inlineStr">
        <is>
          <t>MTur</t>
        </is>
      </c>
      <c r="C14" s="12" t="inlineStr">
        <is>
          <t>N/A</t>
        </is>
      </c>
      <c r="D14" s="16" t="n">
        <v>95</v>
      </c>
      <c r="E14" s="11" t="inlineStr">
        <is>
          <t>N/A</t>
        </is>
      </c>
      <c r="F14" s="12" t="inlineStr">
        <is>
          <t>Nao aplicavel no periodo</t>
        </is>
      </c>
    </row>
    <row r="15">
      <c r="A15" s="11" t="inlineStr">
        <is>
          <t>1.6</t>
        </is>
      </c>
      <c r="B15" s="11" t="inlineStr">
        <is>
          <t>MTur</t>
        </is>
      </c>
      <c r="C15" s="12" t="inlineStr">
        <is>
          <t>N/A</t>
        </is>
      </c>
      <c r="D15" s="16" t="n">
        <v>97</v>
      </c>
      <c r="E15" s="11" t="inlineStr">
        <is>
          <t>N/A</t>
        </is>
      </c>
      <c r="F15" s="12" t="inlineStr">
        <is>
          <t>Nao aplicavel no periodo</t>
        </is>
      </c>
    </row>
    <row r="16">
      <c r="A16" s="11" t="inlineStr">
        <is>
          <t>1.7</t>
        </is>
      </c>
      <c r="B16" s="11" t="inlineStr">
        <is>
          <t>MTur</t>
        </is>
      </c>
      <c r="C16" s="12" t="inlineStr">
        <is>
          <t>N/A</t>
        </is>
      </c>
      <c r="D16" s="16" t="n">
        <v>80</v>
      </c>
      <c r="E16" s="11" t="inlineStr">
        <is>
          <t>N/A</t>
        </is>
      </c>
      <c r="F16" s="12" t="inlineStr">
        <is>
          <t>Nao aplicavel no periodo</t>
        </is>
      </c>
    </row>
    <row r="17">
      <c r="A17" s="11" t="inlineStr">
        <is>
          <t>1.9</t>
        </is>
      </c>
      <c r="B17" s="11" t="inlineStr">
        <is>
          <t>MTur</t>
        </is>
      </c>
      <c r="C17" s="12" t="inlineStr">
        <is>
          <t>N/A</t>
        </is>
      </c>
      <c r="D17" s="16" t="n">
        <v>90</v>
      </c>
      <c r="E17" s="11" t="inlineStr">
        <is>
          <t>N/A</t>
        </is>
      </c>
      <c r="F17" s="12" t="inlineStr">
        <is>
          <t>Nao aplicavel no periodo</t>
        </is>
      </c>
    </row>
    <row r="18">
      <c r="A18" s="2" t="n"/>
      <c r="B18" s="2" t="n"/>
      <c r="C18" s="2" t="n"/>
      <c r="D18" s="2" t="n"/>
      <c r="E18" s="2" t="n"/>
      <c r="F18" s="2" t="n"/>
    </row>
    <row r="19">
      <c r="A19" s="31" t="inlineStr">
        <is>
          <t>Consolidado</t>
        </is>
      </c>
      <c r="B19" s="2" t="n"/>
      <c r="C19" s="2" t="n"/>
      <c r="D19" s="2" t="n"/>
      <c r="E19" s="2" t="n"/>
      <c r="F19" s="2" t="n"/>
    </row>
    <row r="20">
      <c r="A20" s="13" t="inlineStr">
        <is>
          <t>INMS</t>
        </is>
      </c>
      <c r="B20" s="13" t="inlineStr">
        <is>
          <t>Orgao</t>
        </is>
      </c>
      <c r="C20" s="14" t="inlineStr">
        <is>
          <t>Resultado</t>
        </is>
      </c>
      <c r="D20" s="14" t="inlineStr">
        <is>
          <t>Meta</t>
        </is>
      </c>
      <c r="E20" s="13" t="inlineStr">
        <is>
          <t>Conformidade</t>
        </is>
      </c>
      <c r="F20" s="13" t="inlineStr">
        <is>
          <t>Observacao</t>
        </is>
      </c>
    </row>
    <row r="21">
      <c r="A21" s="11" t="inlineStr">
        <is>
          <t>1.1</t>
        </is>
      </c>
      <c r="B21" s="11" t="inlineStr">
        <is>
          <t>Consolidado</t>
        </is>
      </c>
      <c r="C21" s="12" t="inlineStr">
        <is>
          <t>N/A</t>
        </is>
      </c>
      <c r="D21" s="16" t="n">
        <v>98</v>
      </c>
      <c r="E21" s="11" t="inlineStr">
        <is>
          <t>N/A</t>
        </is>
      </c>
      <c r="F21" s="12" t="inlineStr">
        <is>
          <t>Nao aplicavel no periodo</t>
        </is>
      </c>
    </row>
    <row r="22">
      <c r="A22" s="11" t="inlineStr">
        <is>
          <t>1.2</t>
        </is>
      </c>
      <c r="B22" s="11" t="inlineStr">
        <is>
          <t>Consolidado</t>
        </is>
      </c>
      <c r="C22" s="12" t="inlineStr">
        <is>
          <t>N/A</t>
        </is>
      </c>
      <c r="D22" s="16" t="n">
        <v>95</v>
      </c>
      <c r="E22" s="11" t="inlineStr">
        <is>
          <t>N/A</t>
        </is>
      </c>
      <c r="F22" s="12" t="inlineStr">
        <is>
          <t>Nao aplicavel no periodo</t>
        </is>
      </c>
    </row>
    <row r="23">
      <c r="A23" s="11" t="inlineStr">
        <is>
          <t>1.6</t>
        </is>
      </c>
      <c r="B23" s="11" t="inlineStr">
        <is>
          <t>Consolidado</t>
        </is>
      </c>
      <c r="C23" s="12" t="inlineStr">
        <is>
          <t>N/A</t>
        </is>
      </c>
      <c r="D23" s="16" t="n">
        <v>97</v>
      </c>
      <c r="E23" s="11" t="inlineStr">
        <is>
          <t>N/A</t>
        </is>
      </c>
      <c r="F23" s="12" t="inlineStr">
        <is>
          <t>Nao aplicavel no periodo</t>
        </is>
      </c>
    </row>
    <row r="24">
      <c r="A24" s="11" t="inlineStr">
        <is>
          <t>1.7</t>
        </is>
      </c>
      <c r="B24" s="11" t="inlineStr">
        <is>
          <t>Consolidado</t>
        </is>
      </c>
      <c r="C24" s="12" t="inlineStr">
        <is>
          <t>N/A</t>
        </is>
      </c>
      <c r="D24" s="16" t="n">
        <v>80</v>
      </c>
      <c r="E24" s="11" t="inlineStr">
        <is>
          <t>N/A</t>
        </is>
      </c>
      <c r="F24" s="12" t="inlineStr">
        <is>
          <t>Nao aplicavel no periodo</t>
        </is>
      </c>
    </row>
    <row r="25">
      <c r="A25" s="11" t="inlineStr">
        <is>
          <t>1.9</t>
        </is>
      </c>
      <c r="B25" s="11" t="inlineStr">
        <is>
          <t>Consolidado</t>
        </is>
      </c>
      <c r="C25" s="12" t="inlineStr">
        <is>
          <t>N/A</t>
        </is>
      </c>
      <c r="D25" s="16" t="n">
        <v>90</v>
      </c>
      <c r="E25" s="11" t="inlineStr">
        <is>
          <t>N/A</t>
        </is>
      </c>
      <c r="F25" s="12" t="inlineStr">
        <is>
          <t>Nao aplicavel no periodo</t>
        </is>
      </c>
    </row>
    <row r="26">
      <c r="A26" s="2" t="n"/>
      <c r="B26" s="2" t="n"/>
      <c r="C26" s="2" t="n"/>
      <c r="D26" s="2" t="n"/>
      <c r="E26" s="2" t="n"/>
      <c r="F26" s="2" t="n"/>
    </row>
    <row r="27">
      <c r="A27" s="9" t="inlineStr">
        <is>
          <t>Ausencia de mudanca no periodo registrada como N/A, nao como zero.</t>
        </is>
      </c>
      <c r="B27" s="2" t="n"/>
      <c r="C27" s="2" t="n"/>
      <c r="D27" s="2" t="n"/>
      <c r="E27" s="2" t="n"/>
      <c r="F27" s="2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9" customWidth="1" min="4" max="4"/>
    <col width="16" customWidth="1" min="5" max="5"/>
    <col width="28" customWidth="1" min="6" max="6"/>
  </cols>
  <sheetData>
    <row r="1">
      <c r="A1" s="1" t="inlineStr">
        <is>
          <t>OPERACAO E SUSTENTACAO N3</t>
        </is>
      </c>
      <c r="B1" s="2" t="n"/>
      <c r="C1" s="2" t="n"/>
      <c r="D1" s="2" t="n"/>
      <c r="E1" s="2" t="n"/>
      <c r="F1" s="2" t="n"/>
      <c r="I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I2" s="10" t="inlineStr">
        <is>
          <t>Execução 18/08/2026 | Dados: 49 dias | Responsável: Maria Aparecida Gomes</t>
        </is>
      </c>
    </row>
    <row r="3">
      <c r="A3" s="24" t="inlineStr">
        <is>
          <t>MinC</t>
        </is>
      </c>
      <c r="B3" s="2" t="n"/>
      <c r="C3" s="2" t="n"/>
      <c r="D3" s="2" t="n"/>
      <c r="E3" s="2" t="n"/>
      <c r="F3" s="2" t="n"/>
    </row>
    <row r="4">
      <c r="A4" s="13" t="inlineStr">
        <is>
          <t>INMS</t>
        </is>
      </c>
      <c r="B4" s="13" t="inlineStr">
        <is>
          <t>Orgao</t>
        </is>
      </c>
      <c r="C4" s="14" t="inlineStr">
        <is>
          <t>Resultado</t>
        </is>
      </c>
      <c r="D4" s="14" t="inlineStr">
        <is>
          <t>Meta</t>
        </is>
      </c>
      <c r="E4" s="13" t="inlineStr">
        <is>
          <t>Conformidade</t>
        </is>
      </c>
      <c r="F4" s="13" t="inlineStr">
        <is>
          <t>Observacao</t>
        </is>
      </c>
    </row>
    <row r="5">
      <c r="A5" s="11" t="inlineStr">
        <is>
          <t>1.1</t>
        </is>
      </c>
      <c r="B5" s="11" t="inlineStr">
        <is>
          <t>MinC</t>
        </is>
      </c>
      <c r="C5" s="12" t="inlineStr">
        <is>
          <t>N/A</t>
        </is>
      </c>
      <c r="D5" s="16" t="n">
        <v>98</v>
      </c>
      <c r="E5" s="11" t="inlineStr">
        <is>
          <t>N/A</t>
        </is>
      </c>
      <c r="F5" s="12" t="inlineStr">
        <is>
          <t>Nao aplicavel no periodo</t>
        </is>
      </c>
    </row>
    <row r="6">
      <c r="A6" s="11" t="inlineStr">
        <is>
          <t>1.2</t>
        </is>
      </c>
      <c r="B6" s="11" t="inlineStr">
        <is>
          <t>MinC</t>
        </is>
      </c>
      <c r="C6" s="12" t="inlineStr">
        <is>
          <t>N/A</t>
        </is>
      </c>
      <c r="D6" s="16" t="n">
        <v>95</v>
      </c>
      <c r="E6" s="11" t="inlineStr">
        <is>
          <t>N/A</t>
        </is>
      </c>
      <c r="F6" s="12" t="inlineStr">
        <is>
          <t>Nao aplicavel no periodo</t>
        </is>
      </c>
    </row>
    <row r="7">
      <c r="A7" s="11" t="inlineStr">
        <is>
          <t>1.3</t>
        </is>
      </c>
      <c r="B7" s="11" t="inlineStr">
        <is>
          <t>MinC</t>
        </is>
      </c>
      <c r="C7" s="12" t="inlineStr">
        <is>
          <t>N/A</t>
        </is>
      </c>
      <c r="D7" s="16" t="n">
        <v>100</v>
      </c>
      <c r="E7" s="11" t="inlineStr">
        <is>
          <t>N/A</t>
        </is>
      </c>
      <c r="F7" s="12" t="inlineStr">
        <is>
          <t>Nao aplicavel no periodo</t>
        </is>
      </c>
    </row>
    <row r="8">
      <c r="A8" s="11" t="inlineStr">
        <is>
          <t>1.6</t>
        </is>
      </c>
      <c r="B8" s="11" t="inlineStr">
        <is>
          <t>MinC</t>
        </is>
      </c>
      <c r="C8" s="12" t="inlineStr">
        <is>
          <t>N/A</t>
        </is>
      </c>
      <c r="D8" s="16" t="n">
        <v>97</v>
      </c>
      <c r="E8" s="11" t="inlineStr">
        <is>
          <t>N/A</t>
        </is>
      </c>
      <c r="F8" s="12" t="inlineStr">
        <is>
          <t>Nao aplicavel no periodo</t>
        </is>
      </c>
    </row>
    <row r="9">
      <c r="A9" s="11" t="inlineStr">
        <is>
          <t>1.7</t>
        </is>
      </c>
      <c r="B9" s="11" t="inlineStr">
        <is>
          <t>MinC</t>
        </is>
      </c>
      <c r="C9" s="12" t="inlineStr">
        <is>
          <t>N/A</t>
        </is>
      </c>
      <c r="D9" s="16" t="n">
        <v>80</v>
      </c>
      <c r="E9" s="11" t="inlineStr">
        <is>
          <t>N/A</t>
        </is>
      </c>
      <c r="F9" s="12" t="inlineStr">
        <is>
          <t>Nao aplicavel no periodo</t>
        </is>
      </c>
    </row>
    <row r="10">
      <c r="A10" s="11" t="inlineStr">
        <is>
          <t>1.9</t>
        </is>
      </c>
      <c r="B10" s="11" t="inlineStr">
        <is>
          <t>MinC</t>
        </is>
      </c>
      <c r="C10" s="12" t="inlineStr">
        <is>
          <t>N/A</t>
        </is>
      </c>
      <c r="D10" s="16" t="n">
        <v>90</v>
      </c>
      <c r="E10" s="11" t="inlineStr">
        <is>
          <t>N/A</t>
        </is>
      </c>
      <c r="F10" s="12" t="inlineStr">
        <is>
          <t>Nao aplicavel no periodo</t>
        </is>
      </c>
    </row>
    <row r="11">
      <c r="A11" s="11" t="inlineStr">
        <is>
          <t>1.10</t>
        </is>
      </c>
      <c r="B11" s="11" t="inlineStr">
        <is>
          <t>MinC</t>
        </is>
      </c>
      <c r="C11" s="12" t="inlineStr">
        <is>
          <t>N/A</t>
        </is>
      </c>
      <c r="D11" s="16" t="n">
        <v>100</v>
      </c>
      <c r="E11" s="11" t="inlineStr">
        <is>
          <t>N/A</t>
        </is>
      </c>
      <c r="F11" s="12" t="inlineStr">
        <is>
          <t>Nao aplicavel no periodo</t>
        </is>
      </c>
    </row>
    <row r="12">
      <c r="A12" s="11" t="inlineStr">
        <is>
          <t>1.14</t>
        </is>
      </c>
      <c r="B12" s="11" t="inlineStr">
        <is>
          <t>MinC</t>
        </is>
      </c>
      <c r="C12" s="12" t="inlineStr">
        <is>
          <t>N/A</t>
        </is>
      </c>
      <c r="D12" s="16" t="n">
        <v>99.5</v>
      </c>
      <c r="E12" s="11" t="inlineStr">
        <is>
          <t>N/A</t>
        </is>
      </c>
      <c r="F12" s="12" t="inlineStr">
        <is>
          <t>Nao aplicavel no periodo</t>
        </is>
      </c>
    </row>
    <row r="13">
      <c r="A13" s="2" t="n"/>
      <c r="B13" s="2" t="n"/>
      <c r="C13" s="2" t="n"/>
      <c r="D13" s="2" t="n"/>
      <c r="E13" s="2" t="n"/>
      <c r="F13" s="2" t="n"/>
    </row>
    <row r="14">
      <c r="A14" s="29" t="inlineStr">
        <is>
          <t>MTur</t>
        </is>
      </c>
      <c r="B14" s="2" t="n"/>
      <c r="C14" s="2" t="n"/>
      <c r="D14" s="2" t="n"/>
      <c r="E14" s="2" t="n"/>
      <c r="F14" s="2" t="n"/>
    </row>
    <row r="15">
      <c r="A15" s="13" t="inlineStr">
        <is>
          <t>INMS</t>
        </is>
      </c>
      <c r="B15" s="13" t="inlineStr">
        <is>
          <t>Orgao</t>
        </is>
      </c>
      <c r="C15" s="14" t="inlineStr">
        <is>
          <t>Resultado</t>
        </is>
      </c>
      <c r="D15" s="14" t="inlineStr">
        <is>
          <t>Meta</t>
        </is>
      </c>
      <c r="E15" s="13" t="inlineStr">
        <is>
          <t>Conformidade</t>
        </is>
      </c>
      <c r="F15" s="13" t="inlineStr">
        <is>
          <t>Observacao</t>
        </is>
      </c>
    </row>
    <row r="16">
      <c r="A16" s="11" t="inlineStr">
        <is>
          <t>1.1</t>
        </is>
      </c>
      <c r="B16" s="11" t="inlineStr">
        <is>
          <t>MTur</t>
        </is>
      </c>
      <c r="C16" s="12" t="inlineStr">
        <is>
          <t>N/A</t>
        </is>
      </c>
      <c r="D16" s="16" t="n">
        <v>98</v>
      </c>
      <c r="E16" s="11" t="inlineStr">
        <is>
          <t>N/A</t>
        </is>
      </c>
      <c r="F16" s="12" t="inlineStr">
        <is>
          <t>Nao aplicavel no periodo</t>
        </is>
      </c>
    </row>
    <row r="17">
      <c r="A17" s="11" t="inlineStr">
        <is>
          <t>1.2</t>
        </is>
      </c>
      <c r="B17" s="11" t="inlineStr">
        <is>
          <t>MTur</t>
        </is>
      </c>
      <c r="C17" s="12" t="inlineStr">
        <is>
          <t>N/A</t>
        </is>
      </c>
      <c r="D17" s="16" t="n">
        <v>95</v>
      </c>
      <c r="E17" s="11" t="inlineStr">
        <is>
          <t>N/A</t>
        </is>
      </c>
      <c r="F17" s="12" t="inlineStr">
        <is>
          <t>Nao aplicavel no periodo</t>
        </is>
      </c>
    </row>
    <row r="18">
      <c r="A18" s="11" t="inlineStr">
        <is>
          <t>1.3</t>
        </is>
      </c>
      <c r="B18" s="11" t="inlineStr">
        <is>
          <t>MTur</t>
        </is>
      </c>
      <c r="C18" s="12" t="inlineStr">
        <is>
          <t>N/A</t>
        </is>
      </c>
      <c r="D18" s="16" t="n">
        <v>100</v>
      </c>
      <c r="E18" s="11" t="inlineStr">
        <is>
          <t>N/A</t>
        </is>
      </c>
      <c r="F18" s="12" t="inlineStr">
        <is>
          <t>Nao aplicavel no periodo</t>
        </is>
      </c>
    </row>
    <row r="19">
      <c r="A19" s="11" t="inlineStr">
        <is>
          <t>1.6</t>
        </is>
      </c>
      <c r="B19" s="11" t="inlineStr">
        <is>
          <t>MTur</t>
        </is>
      </c>
      <c r="C19" s="12" t="inlineStr">
        <is>
          <t>N/A</t>
        </is>
      </c>
      <c r="D19" s="16" t="n">
        <v>97</v>
      </c>
      <c r="E19" s="11" t="inlineStr">
        <is>
          <t>N/A</t>
        </is>
      </c>
      <c r="F19" s="12" t="inlineStr">
        <is>
          <t>Nao aplicavel no periodo</t>
        </is>
      </c>
    </row>
    <row r="20">
      <c r="A20" s="11" t="inlineStr">
        <is>
          <t>1.7</t>
        </is>
      </c>
      <c r="B20" s="11" t="inlineStr">
        <is>
          <t>MTur</t>
        </is>
      </c>
      <c r="C20" s="12" t="inlineStr">
        <is>
          <t>N/A</t>
        </is>
      </c>
      <c r="D20" s="16" t="n">
        <v>80</v>
      </c>
      <c r="E20" s="11" t="inlineStr">
        <is>
          <t>N/A</t>
        </is>
      </c>
      <c r="F20" s="12" t="inlineStr">
        <is>
          <t>Nao aplicavel no periodo</t>
        </is>
      </c>
    </row>
    <row r="21">
      <c r="A21" s="11" t="inlineStr">
        <is>
          <t>1.9</t>
        </is>
      </c>
      <c r="B21" s="11" t="inlineStr">
        <is>
          <t>MTur</t>
        </is>
      </c>
      <c r="C21" s="12" t="inlineStr">
        <is>
          <t>N/A</t>
        </is>
      </c>
      <c r="D21" s="16" t="n">
        <v>90</v>
      </c>
      <c r="E21" s="11" t="inlineStr">
        <is>
          <t>N/A</t>
        </is>
      </c>
      <c r="F21" s="12" t="inlineStr">
        <is>
          <t>Nao aplicavel no periodo</t>
        </is>
      </c>
    </row>
    <row r="22">
      <c r="A22" s="11" t="inlineStr">
        <is>
          <t>1.10</t>
        </is>
      </c>
      <c r="B22" s="11" t="inlineStr">
        <is>
          <t>MTur</t>
        </is>
      </c>
      <c r="C22" s="12" t="inlineStr">
        <is>
          <t>N/A</t>
        </is>
      </c>
      <c r="D22" s="16" t="n">
        <v>100</v>
      </c>
      <c r="E22" s="11" t="inlineStr">
        <is>
          <t>N/A</t>
        </is>
      </c>
      <c r="F22" s="12" t="inlineStr">
        <is>
          <t>Nao aplicavel no periodo</t>
        </is>
      </c>
    </row>
    <row r="23">
      <c r="A23" s="11" t="inlineStr">
        <is>
          <t>1.14</t>
        </is>
      </c>
      <c r="B23" s="11" t="inlineStr">
        <is>
          <t>MTur</t>
        </is>
      </c>
      <c r="C23" s="12" t="inlineStr">
        <is>
          <t>N/A</t>
        </is>
      </c>
      <c r="D23" s="16" t="n">
        <v>99.5</v>
      </c>
      <c r="E23" s="11" t="inlineStr">
        <is>
          <t>N/A</t>
        </is>
      </c>
      <c r="F23" s="12" t="inlineStr">
        <is>
          <t>Nao aplicavel no periodo</t>
        </is>
      </c>
    </row>
    <row r="24">
      <c r="A24" s="2" t="n"/>
      <c r="B24" s="2" t="n"/>
      <c r="C24" s="2" t="n"/>
      <c r="D24" s="2" t="n"/>
      <c r="E24" s="2" t="n"/>
      <c r="F24" s="2" t="n"/>
    </row>
    <row r="25">
      <c r="A25" s="31" t="inlineStr">
        <is>
          <t>Consolidado</t>
        </is>
      </c>
      <c r="B25" s="2" t="n"/>
      <c r="C25" s="2" t="n"/>
      <c r="D25" s="2" t="n"/>
      <c r="E25" s="2" t="n"/>
      <c r="F25" s="2" t="n"/>
    </row>
    <row r="26">
      <c r="A26" s="13" t="inlineStr">
        <is>
          <t>INMS</t>
        </is>
      </c>
      <c r="B26" s="13" t="inlineStr">
        <is>
          <t>Orgao</t>
        </is>
      </c>
      <c r="C26" s="14" t="inlineStr">
        <is>
          <t>Resultado</t>
        </is>
      </c>
      <c r="D26" s="14" t="inlineStr">
        <is>
          <t>Meta</t>
        </is>
      </c>
      <c r="E26" s="13" t="inlineStr">
        <is>
          <t>Conformidade</t>
        </is>
      </c>
      <c r="F26" s="13" t="inlineStr">
        <is>
          <t>Observacao</t>
        </is>
      </c>
    </row>
    <row r="27">
      <c r="A27" s="11" t="inlineStr">
        <is>
          <t>1.1</t>
        </is>
      </c>
      <c r="B27" s="11" t="inlineStr">
        <is>
          <t>Consolidado</t>
        </is>
      </c>
      <c r="C27" s="12" t="inlineStr">
        <is>
          <t>N/A</t>
        </is>
      </c>
      <c r="D27" s="16" t="n">
        <v>98</v>
      </c>
      <c r="E27" s="11" t="inlineStr">
        <is>
          <t>N/A</t>
        </is>
      </c>
      <c r="F27" s="12" t="inlineStr">
        <is>
          <t>Nao aplicavel no periodo</t>
        </is>
      </c>
    </row>
    <row r="28">
      <c r="A28" s="11" t="inlineStr">
        <is>
          <t>1.2</t>
        </is>
      </c>
      <c r="B28" s="11" t="inlineStr">
        <is>
          <t>Consolidado</t>
        </is>
      </c>
      <c r="C28" s="12" t="inlineStr">
        <is>
          <t>N/A</t>
        </is>
      </c>
      <c r="D28" s="16" t="n">
        <v>95</v>
      </c>
      <c r="E28" s="11" t="inlineStr">
        <is>
          <t>N/A</t>
        </is>
      </c>
      <c r="F28" s="12" t="inlineStr">
        <is>
          <t>Nao aplicavel no periodo</t>
        </is>
      </c>
    </row>
    <row r="29">
      <c r="A29" s="11" t="inlineStr">
        <is>
          <t>1.3</t>
        </is>
      </c>
      <c r="B29" s="11" t="inlineStr">
        <is>
          <t>Consolidado</t>
        </is>
      </c>
      <c r="C29" s="12" t="inlineStr">
        <is>
          <t>N/A</t>
        </is>
      </c>
      <c r="D29" s="16" t="n">
        <v>100</v>
      </c>
      <c r="E29" s="11" t="inlineStr">
        <is>
          <t>N/A</t>
        </is>
      </c>
      <c r="F29" s="12" t="inlineStr">
        <is>
          <t>Nao aplicavel no periodo</t>
        </is>
      </c>
    </row>
    <row r="30">
      <c r="A30" s="11" t="inlineStr">
        <is>
          <t>1.6</t>
        </is>
      </c>
      <c r="B30" s="11" t="inlineStr">
        <is>
          <t>Consolidado</t>
        </is>
      </c>
      <c r="C30" s="12" t="inlineStr">
        <is>
          <t>N/A</t>
        </is>
      </c>
      <c r="D30" s="16" t="n">
        <v>97</v>
      </c>
      <c r="E30" s="11" t="inlineStr">
        <is>
          <t>N/A</t>
        </is>
      </c>
      <c r="F30" s="12" t="inlineStr">
        <is>
          <t>Nao aplicavel no periodo</t>
        </is>
      </c>
    </row>
    <row r="31">
      <c r="A31" s="11" t="inlineStr">
        <is>
          <t>1.7</t>
        </is>
      </c>
      <c r="B31" s="11" t="inlineStr">
        <is>
          <t>Consolidado</t>
        </is>
      </c>
      <c r="C31" s="12" t="inlineStr">
        <is>
          <t>N/A</t>
        </is>
      </c>
      <c r="D31" s="16" t="n">
        <v>80</v>
      </c>
      <c r="E31" s="11" t="inlineStr">
        <is>
          <t>N/A</t>
        </is>
      </c>
      <c r="F31" s="12" t="inlineStr">
        <is>
          <t>Nao aplicavel no periodo</t>
        </is>
      </c>
    </row>
    <row r="32">
      <c r="A32" s="11" t="inlineStr">
        <is>
          <t>1.9</t>
        </is>
      </c>
      <c r="B32" s="11" t="inlineStr">
        <is>
          <t>Consolidado</t>
        </is>
      </c>
      <c r="C32" s="12" t="inlineStr">
        <is>
          <t>N/A</t>
        </is>
      </c>
      <c r="D32" s="16" t="n">
        <v>90</v>
      </c>
      <c r="E32" s="11" t="inlineStr">
        <is>
          <t>N/A</t>
        </is>
      </c>
      <c r="F32" s="12" t="inlineStr">
        <is>
          <t>Nao aplicavel no periodo</t>
        </is>
      </c>
    </row>
    <row r="33">
      <c r="A33" s="11" t="inlineStr">
        <is>
          <t>1.10</t>
        </is>
      </c>
      <c r="B33" s="11" t="inlineStr">
        <is>
          <t>Consolidado</t>
        </is>
      </c>
      <c r="C33" s="12" t="inlineStr">
        <is>
          <t>N/A</t>
        </is>
      </c>
      <c r="D33" s="16" t="n">
        <v>100</v>
      </c>
      <c r="E33" s="11" t="inlineStr">
        <is>
          <t>N/A</t>
        </is>
      </c>
      <c r="F33" s="12" t="inlineStr">
        <is>
          <t>Nao aplicavel no periodo</t>
        </is>
      </c>
    </row>
    <row r="34">
      <c r="A34" s="11" t="inlineStr">
        <is>
          <t>1.14</t>
        </is>
      </c>
      <c r="B34" s="11" t="inlineStr">
        <is>
          <t>Consolidado</t>
        </is>
      </c>
      <c r="C34" s="12" t="inlineStr">
        <is>
          <t>N/A</t>
        </is>
      </c>
      <c r="D34" s="16" t="n">
        <v>99.5</v>
      </c>
      <c r="E34" s="11" t="inlineStr">
        <is>
          <t>N/A</t>
        </is>
      </c>
      <c r="F34" s="12" t="inlineStr">
        <is>
          <t>Nao aplicavel no periodo</t>
        </is>
      </c>
    </row>
    <row r="35">
      <c r="A35" s="2" t="n"/>
      <c r="B35" s="2" t="n"/>
      <c r="C35" s="2" t="n"/>
      <c r="D35" s="2" t="n"/>
      <c r="E35" s="2" t="n"/>
      <c r="F35" s="2" t="n"/>
    </row>
    <row r="36">
      <c r="A36" s="9" t="inlineStr">
        <is>
          <t>INMS 1.14 referencia MONITORAMENTO_NOC_SOC.</t>
        </is>
      </c>
      <c r="B36" s="2" t="n"/>
      <c r="C36" s="2" t="n"/>
      <c r="D36" s="2" t="n"/>
      <c r="E36" s="2" t="n"/>
      <c r="F36" s="2" t="n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9" customWidth="1" min="3" max="3"/>
    <col width="11" customWidth="1" min="4" max="4"/>
    <col width="21" customWidth="1" min="5" max="5"/>
    <col width="13" customWidth="1" min="6" max="6"/>
    <col width="23" customWidth="1" min="7" max="7"/>
    <col width="21" customWidth="1" min="8" max="8"/>
    <col width="19" customWidth="1" min="9" max="9"/>
    <col width="24" customWidth="1" min="10" max="10"/>
    <col width="16" customWidth="1" min="11" max="11"/>
    <col width="20" customWidth="1" min="12" max="12"/>
    <col width="16" customWidth="1" min="13" max="13"/>
    <col width="15" customWidth="1" min="14" max="14"/>
    <col width="25" customWidth="1" min="15" max="15"/>
    <col width="21" customWidth="1" min="16" max="16"/>
  </cols>
  <sheetData>
    <row r="1">
      <c r="A1" s="1" t="inlineStr">
        <is>
          <t>EVIDENCIAS - Registro Central de Documentos Comprobatorios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10" t="inlineStr">
        <is>
          <t>Execução 18/08/2026 | Dados: 49 dias | Responsável: Maria Aparecida Gomes</t>
        </is>
      </c>
    </row>
    <row r="3">
      <c r="A3" s="13" t="inlineStr">
        <is>
          <t>ID Evidencia</t>
        </is>
      </c>
      <c r="B3" s="13" t="inlineStr">
        <is>
          <t>Competencia</t>
        </is>
      </c>
      <c r="C3" s="13" t="inlineStr">
        <is>
          <t>Orgao</t>
        </is>
      </c>
      <c r="D3" s="13" t="inlineStr">
        <is>
          <t>Servico</t>
        </is>
      </c>
      <c r="E3" s="13" t="inlineStr">
        <is>
          <t>Grupo Operacional</t>
        </is>
      </c>
      <c r="F3" s="13" t="inlineStr">
        <is>
          <t>Indicador</t>
        </is>
      </c>
      <c r="G3" s="13" t="inlineStr">
        <is>
          <t>Descricao Evidencia</t>
        </is>
      </c>
      <c r="H3" s="13" t="inlineStr">
        <is>
          <t>Sistema de Origem</t>
        </is>
      </c>
      <c r="I3" s="13" t="inlineStr">
        <is>
          <t>Periodo Coberto</t>
        </is>
      </c>
      <c r="J3" s="13" t="inlineStr">
        <is>
          <t>Numero Documento SEI</t>
        </is>
      </c>
      <c r="K3" s="13" t="inlineStr">
        <is>
          <t>Nome Arquivo</t>
        </is>
      </c>
      <c r="L3" s="13" t="inlineStr">
        <is>
          <t>Endereco/Caminho</t>
        </is>
      </c>
      <c r="M3" s="13" t="inlineStr">
        <is>
          <t>Data Emissao</t>
        </is>
      </c>
      <c r="N3" s="13" t="inlineStr">
        <is>
          <t>Responsavel</t>
        </is>
      </c>
      <c r="O3" s="13" t="inlineStr">
        <is>
          <t>Evidencia Suficiente?</t>
        </is>
      </c>
      <c r="P3" s="13" t="inlineStr">
        <is>
          <t>Observacao Fiscal</t>
        </is>
      </c>
    </row>
    <row r="4">
      <c r="A4" s="11" t="inlineStr">
        <is>
          <t>EV-001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</row>
    <row r="5">
      <c r="A5" s="11" t="inlineStr">
        <is>
          <t>EV-002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</row>
    <row r="6">
      <c r="A6" s="11" t="inlineStr">
        <is>
          <t>EV-003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</row>
    <row r="7">
      <c r="A7" s="11" t="inlineStr">
        <is>
          <t>EV-004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</row>
    <row r="8">
      <c r="A8" s="11" t="inlineStr">
        <is>
          <t>EV-005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9" customWidth="1" min="3" max="3"/>
    <col width="11" customWidth="1" min="4" max="4"/>
    <col width="13" customWidth="1" min="5" max="5"/>
    <col width="13" customWidth="1" min="6" max="6"/>
    <col width="8" customWidth="1" min="7" max="7"/>
    <col width="24" customWidth="1" min="8" max="8"/>
    <col width="21" customWidth="1" min="9" max="9"/>
    <col width="14" customWidth="1" min="10" max="10"/>
    <col width="15" customWidth="1" min="11" max="11"/>
    <col width="16" customWidth="1" min="12" max="12"/>
    <col width="45" customWidth="1" min="13" max="13"/>
    <col width="21" customWidth="1" min="14" max="14"/>
    <col width="18" customWidth="1" min="15" max="15"/>
    <col width="21" customWidth="1" min="16" max="16"/>
  </cols>
  <sheetData>
    <row r="1">
      <c r="A1" s="1" t="inlineStr">
        <is>
          <t>GLOSAS - Ocorrencias com Impacto Financeiro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10" t="inlineStr">
        <is>
          <t>Execução 18/08/2026 | Dados: 49 dias | Responsável: Maria Aparecida Gomes</t>
        </is>
      </c>
    </row>
    <row r="3">
      <c r="A3" s="13" t="inlineStr">
        <is>
          <t>Competencia</t>
        </is>
      </c>
      <c r="B3" s="13" t="inlineStr">
        <is>
          <t>Orgao</t>
        </is>
      </c>
      <c r="C3" s="13" t="inlineStr">
        <is>
          <t>Item Contratual</t>
        </is>
      </c>
      <c r="D3" s="13" t="inlineStr">
        <is>
          <t>Servico</t>
        </is>
      </c>
      <c r="E3" s="13" t="inlineStr">
        <is>
          <t>Indicador</t>
        </is>
      </c>
      <c r="F3" s="14" t="inlineStr">
        <is>
          <t>Resultado</t>
        </is>
      </c>
      <c r="G3" s="14" t="inlineStr">
        <is>
          <t>Meta</t>
        </is>
      </c>
      <c r="H3" s="13" t="inlineStr">
        <is>
          <t>Faixa Descumprimento</t>
        </is>
      </c>
      <c r="I3" s="14" t="inlineStr">
        <is>
          <t>Percentual Ajuste</t>
        </is>
      </c>
      <c r="J3" s="14" t="inlineStr">
        <is>
          <t>Valor Base</t>
        </is>
      </c>
      <c r="K3" s="14" t="inlineStr">
        <is>
          <t>Valor Glosa</t>
        </is>
      </c>
      <c r="L3" s="13" t="inlineStr">
        <is>
          <t>Reincidencia</t>
        </is>
      </c>
      <c r="M3" s="13" t="inlineStr">
        <is>
          <t>Justificativa</t>
        </is>
      </c>
      <c r="N3" s="13" t="inlineStr">
        <is>
          <t>Numero Ocorrencia</t>
        </is>
      </c>
      <c r="O3" s="13" t="inlineStr">
        <is>
          <t>Decisao Fiscal</t>
        </is>
      </c>
      <c r="P3" s="13" t="inlineStr">
        <is>
          <t>Observacao Gestor</t>
        </is>
      </c>
    </row>
    <row r="4">
      <c r="A4" s="12" t="inlineStr">
        <is>
          <t>Junho/2026</t>
        </is>
      </c>
      <c r="B4" s="12" t="inlineStr">
        <is>
          <t>MinC</t>
        </is>
      </c>
      <c r="C4" s="12" t="inlineStr"/>
      <c r="D4" s="12" t="inlineStr"/>
      <c r="E4" s="11" t="inlineStr">
        <is>
          <t>1.2</t>
        </is>
      </c>
      <c r="F4" s="16" t="n">
        <v>93.97</v>
      </c>
      <c r="G4" s="16" t="n">
        <v>95</v>
      </c>
      <c r="H4" s="12" t="inlineStr">
        <is>
          <t>Abismo de 1.03pp</t>
        </is>
      </c>
      <c r="I4" s="20" t="n">
        <v>0.8667</v>
      </c>
      <c r="J4" s="21" t="n">
        <v>481534.8</v>
      </c>
      <c r="K4" s="21" t="n">
        <v>4173.32</v>
      </c>
      <c r="L4" s="12" t="inlineStr"/>
      <c r="M4" s="12" t="inlineStr">
        <is>
          <t>Requisições atendidas dentro do prazo</t>
        </is>
      </c>
      <c r="N4" s="12" t="inlineStr"/>
      <c r="O4" s="12" t="inlineStr"/>
      <c r="P4" s="12" t="inlineStr"/>
    </row>
    <row r="5">
      <c r="A5" s="12" t="inlineStr">
        <is>
          <t>Junho/2026</t>
        </is>
      </c>
      <c r="B5" s="12" t="inlineStr">
        <is>
          <t>MinC</t>
        </is>
      </c>
      <c r="C5" s="12" t="inlineStr"/>
      <c r="D5" s="12" t="inlineStr"/>
      <c r="E5" s="11" t="inlineStr">
        <is>
          <t>1.4</t>
        </is>
      </c>
      <c r="F5" s="16" t="n">
        <v>98.95</v>
      </c>
      <c r="G5" s="16" t="n">
        <v>99.5</v>
      </c>
      <c r="H5" s="12" t="inlineStr">
        <is>
          <t>Abismo de 0.55pp</t>
        </is>
      </c>
      <c r="I5" s="20" t="n">
        <v>5.5</v>
      </c>
      <c r="J5" s="21" t="n">
        <v>481534.8</v>
      </c>
      <c r="K5" s="21" t="n">
        <v>26484.41</v>
      </c>
      <c r="L5" s="12" t="inlineStr"/>
      <c r="M5" s="12" t="inlineStr">
        <is>
          <t>Disponibilidade de sistema/serviço crítico</t>
        </is>
      </c>
      <c r="N5" s="12" t="inlineStr"/>
      <c r="O5" s="12" t="inlineStr"/>
      <c r="P5" s="12" t="inlineStr"/>
    </row>
    <row r="6">
      <c r="A6" s="12" t="inlineStr">
        <is>
          <t>Junho/2026</t>
        </is>
      </c>
      <c r="B6" s="12" t="inlineStr">
        <is>
          <t>MinC</t>
        </is>
      </c>
      <c r="C6" s="12" t="inlineStr"/>
      <c r="D6" s="12" t="inlineStr"/>
      <c r="E6" s="11" t="inlineStr">
        <is>
          <t>1.7</t>
        </is>
      </c>
      <c r="F6" s="16" t="n">
        <v>2.46</v>
      </c>
      <c r="G6" s="16" t="n">
        <v>80</v>
      </c>
      <c r="H6" s="12" t="inlineStr">
        <is>
          <t>Abismo de 77.54pp</t>
        </is>
      </c>
      <c r="I6" s="20" t="n">
        <v>19.385</v>
      </c>
      <c r="J6" s="21" t="n">
        <v>481534.8</v>
      </c>
      <c r="K6" s="21" t="n">
        <v>93345.47</v>
      </c>
      <c r="L6" s="12" t="inlineStr"/>
      <c r="M6" s="12" t="inlineStr">
        <is>
          <t>Satisfação dos usuários</t>
        </is>
      </c>
      <c r="N6" s="12" t="inlineStr"/>
      <c r="O6" s="12" t="inlineStr"/>
      <c r="P6" s="12" t="inlineStr"/>
    </row>
    <row r="7">
      <c r="A7" s="12" t="inlineStr">
        <is>
          <t>Junho/2026</t>
        </is>
      </c>
      <c r="B7" s="12" t="inlineStr">
        <is>
          <t>MinC</t>
        </is>
      </c>
      <c r="C7" s="12" t="inlineStr"/>
      <c r="D7" s="12" t="inlineStr"/>
      <c r="E7" s="11" t="inlineStr">
        <is>
          <t>1.11</t>
        </is>
      </c>
      <c r="F7" s="16" t="n">
        <v>49.39</v>
      </c>
      <c r="G7" s="16" t="n">
        <v>5</v>
      </c>
      <c r="H7" s="12" t="inlineStr">
        <is>
          <t>Abismo de -44.39pp</t>
        </is>
      </c>
      <c r="I7" s="20" t="n">
        <v>2.2195</v>
      </c>
      <c r="J7" s="21" t="n">
        <v>481534.8</v>
      </c>
      <c r="K7" s="21" t="n">
        <v>10687.71</v>
      </c>
      <c r="L7" s="12" t="inlineStr"/>
      <c r="M7" s="12" t="inlineStr">
        <is>
          <t>Índice de chamadas telefônicas abandonadas</t>
        </is>
      </c>
      <c r="N7" s="12" t="inlineStr"/>
      <c r="O7" s="12" t="inlineStr"/>
      <c r="P7" s="12" t="inlineStr"/>
    </row>
    <row r="8">
      <c r="A8" s="12" t="inlineStr">
        <is>
          <t>Junho/2026</t>
        </is>
      </c>
      <c r="B8" s="12" t="inlineStr">
        <is>
          <t>MinC</t>
        </is>
      </c>
      <c r="C8" s="12" t="inlineStr"/>
      <c r="D8" s="12" t="inlineStr"/>
      <c r="E8" s="11" t="inlineStr">
        <is>
          <t>1.12</t>
        </is>
      </c>
      <c r="F8" s="16" t="n">
        <v>81.5</v>
      </c>
      <c r="G8" s="16" t="n">
        <v>95</v>
      </c>
      <c r="H8" s="12" t="inlineStr">
        <is>
          <t>Abismo de 13.5pp</t>
        </is>
      </c>
      <c r="I8" s="20" t="n">
        <v>3.374</v>
      </c>
      <c r="J8" s="21" t="n">
        <v>481534.8</v>
      </c>
      <c r="K8" s="21" t="n">
        <v>16246.89</v>
      </c>
      <c r="L8" s="12" t="inlineStr"/>
      <c r="M8" s="12" t="inlineStr">
        <is>
          <t>Chamadas atendidas em até 20 segundos</t>
        </is>
      </c>
      <c r="N8" s="12" t="inlineStr"/>
      <c r="O8" s="12" t="inlineStr"/>
      <c r="P8" s="12" t="inlineStr"/>
    </row>
    <row r="9">
      <c r="A9" s="12" t="inlineStr">
        <is>
          <t>Junho/2026</t>
        </is>
      </c>
      <c r="B9" s="12" t="inlineStr">
        <is>
          <t>MinC</t>
        </is>
      </c>
      <c r="C9" s="12" t="inlineStr"/>
      <c r="D9" s="12" t="inlineStr"/>
      <c r="E9" s="11" t="inlineStr">
        <is>
          <t>1.14</t>
        </is>
      </c>
      <c r="F9" s="16" t="n">
        <v>95.01000000000001</v>
      </c>
      <c r="G9" s="16" t="n">
        <v>99.5</v>
      </c>
      <c r="H9" s="12" t="inlineStr">
        <is>
          <t>Abismo de 4.49pp</t>
        </is>
      </c>
      <c r="I9" s="20" t="n">
        <v>11.225</v>
      </c>
      <c r="J9" s="21" t="n">
        <v>481534.8</v>
      </c>
      <c r="K9" s="21" t="n">
        <v>54052.28</v>
      </c>
      <c r="L9" s="12" t="inlineStr"/>
      <c r="M9" s="12" t="inlineStr">
        <is>
          <t>Disponibilidade de serviços de infraestrutura</t>
        </is>
      </c>
      <c r="N9" s="12" t="inlineStr"/>
      <c r="O9" s="12" t="inlineStr"/>
      <c r="P9" s="12" t="inlineStr"/>
    </row>
    <row r="10">
      <c r="A10" s="12" t="inlineStr">
        <is>
          <t>Junho/2026</t>
        </is>
      </c>
      <c r="B10" s="12" t="inlineStr">
        <is>
          <t>MTur</t>
        </is>
      </c>
      <c r="C10" s="12" t="inlineStr"/>
      <c r="D10" s="12" t="inlineStr"/>
      <c r="E10" s="11" t="inlineStr">
        <is>
          <t>1.2</t>
        </is>
      </c>
      <c r="F10" s="16" t="n">
        <v>97.95999999999999</v>
      </c>
      <c r="G10" s="16" t="n">
        <v>95</v>
      </c>
      <c r="H10" s="12" t="inlineStr">
        <is>
          <t>Abismo de -2.96pp</t>
        </is>
      </c>
      <c r="I10" s="20" t="n">
        <v>1.2222</v>
      </c>
      <c r="J10" s="21" t="n">
        <v>481534.8</v>
      </c>
      <c r="K10" s="21" t="n">
        <v>5885.41</v>
      </c>
      <c r="L10" s="12" t="inlineStr"/>
      <c r="M10" s="12" t="inlineStr">
        <is>
          <t>Requisições atendidas dentro do prazo</t>
        </is>
      </c>
      <c r="N10" s="12" t="inlineStr"/>
      <c r="O10" s="12" t="inlineStr"/>
      <c r="P10" s="12" t="inlineStr"/>
    </row>
    <row r="11">
      <c r="A11" s="12" t="inlineStr">
        <is>
          <t>Junho/2026</t>
        </is>
      </c>
      <c r="B11" s="12" t="inlineStr">
        <is>
          <t>MTur</t>
        </is>
      </c>
      <c r="C11" s="12" t="inlineStr"/>
      <c r="D11" s="12" t="inlineStr"/>
      <c r="E11" s="11" t="inlineStr">
        <is>
          <t>1.11</t>
        </is>
      </c>
      <c r="F11" s="16" t="n">
        <v>55.09</v>
      </c>
      <c r="G11" s="16" t="n">
        <v>5</v>
      </c>
      <c r="H11" s="12" t="inlineStr">
        <is>
          <t>Abismo de -50.09pp</t>
        </is>
      </c>
      <c r="I11" s="20" t="n">
        <v>2.5046</v>
      </c>
      <c r="J11" s="21" t="n">
        <v>481534.8</v>
      </c>
      <c r="K11" s="21" t="n">
        <v>12060.38</v>
      </c>
      <c r="L11" s="12" t="inlineStr"/>
      <c r="M11" s="12" t="inlineStr">
        <is>
          <t>Índice de chamadas telefônicas abandonadas</t>
        </is>
      </c>
      <c r="N11" s="12" t="inlineStr"/>
      <c r="O11" s="12" t="inlineStr"/>
      <c r="P11" s="12" t="inlineStr"/>
    </row>
    <row r="12">
      <c r="A12" s="12" t="inlineStr">
        <is>
          <t>Junho/2026</t>
        </is>
      </c>
      <c r="B12" s="12" t="inlineStr">
        <is>
          <t>MTur</t>
        </is>
      </c>
      <c r="C12" s="12" t="inlineStr"/>
      <c r="D12" s="12" t="inlineStr"/>
      <c r="E12" s="11" t="inlineStr">
        <is>
          <t>1.12</t>
        </is>
      </c>
      <c r="F12" s="16" t="n">
        <v>89.81999999999999</v>
      </c>
      <c r="G12" s="16" t="n">
        <v>95</v>
      </c>
      <c r="H12" s="12" t="inlineStr">
        <is>
          <t>Abismo de 5.18pp</t>
        </is>
      </c>
      <c r="I12" s="20" t="n">
        <v>1.2957</v>
      </c>
      <c r="J12" s="21" t="n">
        <v>481534.8</v>
      </c>
      <c r="K12" s="21" t="n">
        <v>6239.2</v>
      </c>
      <c r="L12" s="12" t="inlineStr"/>
      <c r="M12" s="12" t="inlineStr">
        <is>
          <t>Chamadas atendidas em até 20 segundos</t>
        </is>
      </c>
      <c r="N12" s="12" t="inlineStr"/>
      <c r="O12" s="12" t="inlineStr"/>
      <c r="P12" s="1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Resumo da Glosa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3" t="inlineStr">
        <is>
          <t>Total de Pontos</t>
        </is>
      </c>
      <c r="B16" s="34" t="n">
        <v>47592.63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" t="inlineStr">
        <is>
          <t>Formula</t>
        </is>
      </c>
      <c r="B17" s="4" t="inlineStr">
        <is>
          <t>47592.63 x 0,001 = 47.5926%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" t="inlineStr">
        <is>
          <t>Limite</t>
        </is>
      </c>
      <c r="B18" s="4" t="inlineStr">
        <is>
          <t>30.0%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" t="inlineStr">
        <is>
          <t>Percentual Aplicado</t>
        </is>
      </c>
      <c r="B19" s="4" t="inlineStr">
        <is>
          <t>30.0000%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3" t="inlineStr">
        <is>
          <t>Valor Glosa</t>
        </is>
      </c>
      <c r="B20" s="5" t="n">
        <v>144460.44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  <col width="36" customWidth="1" min="4" max="4"/>
  </cols>
  <sheetData>
    <row r="1">
      <c r="A1" s="1" t="inlineStr">
        <is>
          <t>CALCULO DO PAGAMENTO DA COMPETENCIA</t>
        </is>
      </c>
      <c r="B1" s="2" t="n"/>
      <c r="C1" s="2" t="n"/>
      <c r="D1" s="2" t="n"/>
      <c r="I1" s="8" t="inlineStr">
        <is>
          <t>VERSÃO 1.0 | EM ANÁLISE</t>
        </is>
      </c>
    </row>
    <row r="2">
      <c r="A2" s="9" t="inlineStr">
        <is>
          <t>O rateio MinC/MTur permanece como entrada do fiscal ate que seja informada a fonte oficial.</t>
        </is>
      </c>
      <c r="B2" s="2" t="n"/>
      <c r="C2" s="2" t="n"/>
      <c r="D2" s="2" t="n"/>
      <c r="I2" s="10" t="inlineStr">
        <is>
          <t>Execução 18/08/2026 | Dados: 49 dias | Responsável: Maria Aparecida Gomes</t>
        </is>
      </c>
    </row>
    <row r="3">
      <c r="A3" s="9" t="inlineStr">
        <is>
          <t>O total nao pode exceder o valor mensal vigente.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6" t="inlineStr">
        <is>
          <t>Parametros de Entrada (edite aqui)</t>
        </is>
      </c>
      <c r="B5" s="2" t="n"/>
      <c r="C5" s="2" t="n"/>
      <c r="D5" s="2" t="n"/>
    </row>
    <row r="6">
      <c r="A6" s="3" t="inlineStr">
        <is>
          <t>Valor mensal vigente apos 5 Termo de Apostilamento</t>
        </is>
      </c>
      <c r="B6" s="5" t="n">
        <v>481534.8</v>
      </c>
      <c r="C6" s="2" t="n"/>
      <c r="D6" s="2" t="n"/>
    </row>
    <row r="7">
      <c r="A7" s="3" t="inlineStr">
        <is>
          <t>Limite maximo de glosa (%)</t>
        </is>
      </c>
      <c r="B7" s="35" t="n">
        <v>0.3</v>
      </c>
      <c r="C7" s="2" t="n"/>
      <c r="D7" s="2" t="n"/>
    </row>
    <row r="8">
      <c r="A8" s="3" t="inlineStr">
        <is>
          <t>Rateio MinC</t>
        </is>
      </c>
      <c r="B8" s="35" t="n">
        <v>0.5</v>
      </c>
      <c r="C8" s="2" t="n"/>
      <c r="D8" s="2" t="n"/>
    </row>
    <row r="9">
      <c r="A9" s="3" t="inlineStr">
        <is>
          <t>Rateio MTur</t>
        </is>
      </c>
      <c r="B9" s="2" t="n"/>
      <c r="C9" s="35" t="n">
        <v>0.5</v>
      </c>
      <c r="D9" s="2" t="n"/>
    </row>
    <row r="10">
      <c r="A10" s="2" t="n"/>
      <c r="B10" s="2" t="n"/>
      <c r="C10" s="2" t="n"/>
      <c r="D10" s="2" t="n"/>
    </row>
    <row r="11">
      <c r="A11" s="13" t="inlineStr">
        <is>
          <t>Componente</t>
        </is>
      </c>
      <c r="B11" s="14" t="inlineStr">
        <is>
          <t>MinC</t>
        </is>
      </c>
      <c r="C11" s="14" t="inlineStr">
        <is>
          <t>MTur</t>
        </is>
      </c>
      <c r="D11" s="14" t="inlineStr">
        <is>
          <t>Consolidado</t>
        </is>
      </c>
    </row>
    <row r="12">
      <c r="A12" s="36" t="inlineStr">
        <is>
          <t>Percentual de rateio</t>
        </is>
      </c>
      <c r="B12" s="37">
        <f>$B$8</f>
        <v/>
      </c>
      <c r="C12" s="37">
        <f>$C$9</f>
        <v/>
      </c>
      <c r="D12" s="37">
        <f>$B$8+$C$9</f>
        <v/>
      </c>
    </row>
    <row r="13">
      <c r="A13" s="36" t="inlineStr">
        <is>
          <t>Valor bruto</t>
        </is>
      </c>
      <c r="B13" s="21">
        <f>$B$6*B12</f>
        <v/>
      </c>
      <c r="C13" s="21">
        <f>$B$6*C12</f>
        <v/>
      </c>
      <c r="D13" s="21">
        <f>$B$6*D12</f>
        <v/>
      </c>
    </row>
    <row r="14">
      <c r="A14" s="36" t="inlineStr">
        <is>
          <t>Pontos de glosa</t>
        </is>
      </c>
      <c r="B14" s="15" t="n">
        <v>0</v>
      </c>
      <c r="C14" s="15" t="n">
        <v>0</v>
      </c>
      <c r="D14" s="15" t="n">
        <v>47592.63</v>
      </c>
    </row>
    <row r="15">
      <c r="A15" s="36" t="inlineStr">
        <is>
          <t>Valor da glosa</t>
        </is>
      </c>
      <c r="B15" s="21" t="n">
        <v>0</v>
      </c>
      <c r="C15" s="21" t="n">
        <v>0</v>
      </c>
      <c r="D15" s="21">
        <f>MIN(D14*0.001,$B$7*100)/100*D13</f>
        <v/>
      </c>
    </row>
    <row r="16">
      <c r="A16" s="36" t="inlineStr">
        <is>
          <t>Outros ajustes</t>
        </is>
      </c>
      <c r="B16" s="21" t="n">
        <v>0</v>
      </c>
      <c r="C16" s="21" t="n">
        <v>0</v>
      </c>
      <c r="D16" s="21" t="n">
        <v>0</v>
      </c>
    </row>
    <row r="17">
      <c r="A17" s="38" t="inlineStr">
        <is>
          <t>Valor recomendado</t>
        </is>
      </c>
      <c r="B17" s="39">
        <f>MAX(0,B13-B15-B16)</f>
        <v/>
      </c>
      <c r="C17" s="39">
        <f>MAX(0,C13-C15-C16)</f>
        <v/>
      </c>
      <c r="D17" s="39">
        <f>MAX(0,D13-D15-D16)</f>
        <v/>
      </c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6" t="inlineStr">
        <is>
          <t>Manifestacao financeira</t>
        </is>
      </c>
      <c r="B20" s="2" t="n"/>
      <c r="C20" s="2" t="n"/>
      <c r="D20" s="2" t="n"/>
    </row>
    <row r="21">
      <c r="A21" s="4" t="inlineStr">
        <is>
          <t>O valor recomendado sera atualizado automaticamente apos o preenchimento completo dos indicadores, das evidencias e dos parametros oficiais de rateio.</t>
        </is>
      </c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3" t="inlineStr">
        <is>
          <t>Valor global anual</t>
        </is>
      </c>
      <c r="B23" s="5">
        <f>$B$6*12</f>
        <v/>
      </c>
      <c r="C23" s="2" t="n"/>
      <c r="D23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12" customWidth="1" min="4" max="4"/>
    <col width="17" customWidth="1" min="5" max="5"/>
    <col width="12" customWidth="1" min="6" max="6"/>
    <col width="14" customWidth="1" min="7" max="7"/>
  </cols>
  <sheetData>
    <row r="1">
      <c r="A1" s="1" t="inlineStr">
        <is>
          <t>CHECKLIST DO FISCAL CONTRATANTE</t>
        </is>
      </c>
      <c r="B1" s="2" t="n"/>
      <c r="C1" s="2" t="n"/>
      <c r="D1" s="2" t="n"/>
      <c r="E1" s="2" t="n"/>
      <c r="F1" s="2" t="n"/>
      <c r="G1" s="2" t="n"/>
      <c r="I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I2" s="10" t="inlineStr">
        <is>
          <t>Execução 18/08/2026 | Dados: 49 dias | Responsável: Maria Aparecida Gomes</t>
        </is>
      </c>
    </row>
    <row r="3">
      <c r="A3" s="13" t="inlineStr">
        <is>
          <t>Categoria</t>
        </is>
      </c>
      <c r="B3" s="13" t="inlineStr">
        <is>
          <t>Verificação</t>
        </is>
      </c>
      <c r="C3" s="13" t="inlineStr">
        <is>
          <t>MinC</t>
        </is>
      </c>
      <c r="D3" s="13" t="inlineStr">
        <is>
          <t>MTur</t>
        </is>
      </c>
      <c r="E3" s="13" t="inlineStr">
        <is>
          <t>Compartilhado</t>
        </is>
      </c>
      <c r="F3" s="13" t="inlineStr">
        <is>
          <t>Situação</t>
        </is>
      </c>
      <c r="G3" s="13" t="inlineStr">
        <is>
          <t>Observação</t>
        </is>
      </c>
    </row>
    <row r="4">
      <c r="A4" s="12" t="inlineStr">
        <is>
          <t>Execução</t>
        </is>
      </c>
      <c r="B4" s="12" t="inlineStr">
        <is>
          <t>Relatório mensal da contratada recebido</t>
        </is>
      </c>
      <c r="C4" s="11" t="inlineStr">
        <is>
          <t>PENDENTE</t>
        </is>
      </c>
      <c r="D4" s="11" t="inlineStr">
        <is>
          <t>PENDENTE</t>
        </is>
      </c>
      <c r="E4" s="11" t="inlineStr">
        <is>
          <t>PENDENTE</t>
        </is>
      </c>
      <c r="F4" s="11" t="inlineStr">
        <is>
          <t>PENDENTE</t>
        </is>
      </c>
      <c r="G4" s="12" t="inlineStr"/>
    </row>
    <row r="5">
      <c r="A5" s="12" t="inlineStr">
        <is>
          <t>Execução</t>
        </is>
      </c>
      <c r="B5" s="12" t="inlineStr">
        <is>
          <t>Ordens de serviço conferidas</t>
        </is>
      </c>
      <c r="C5" s="11" t="inlineStr">
        <is>
          <t>PENDENTE</t>
        </is>
      </c>
      <c r="D5" s="11" t="inlineStr">
        <is>
          <t>PENDENTE</t>
        </is>
      </c>
      <c r="E5" s="11" t="inlineStr">
        <is>
          <t>PENDENTE</t>
        </is>
      </c>
      <c r="F5" s="11" t="inlineStr">
        <is>
          <t>PENDENTE</t>
        </is>
      </c>
      <c r="G5" s="12" t="inlineStr"/>
    </row>
    <row r="6">
      <c r="A6" s="12" t="inlineStr">
        <is>
          <t>Execução</t>
        </is>
      </c>
      <c r="B6" s="12" t="inlineStr">
        <is>
          <t>Dados brutos dos indicadores disponíveis</t>
        </is>
      </c>
      <c r="C6" s="11" t="inlineStr">
        <is>
          <t>PENDENTE</t>
        </is>
      </c>
      <c r="D6" s="11" t="inlineStr">
        <is>
          <t>PENDENTE</t>
        </is>
      </c>
      <c r="E6" s="11" t="inlineStr">
        <is>
          <t>PENDENTE</t>
        </is>
      </c>
      <c r="F6" s="11" t="inlineStr">
        <is>
          <t>PENDENTE</t>
        </is>
      </c>
      <c r="G6" s="12" t="inlineStr"/>
    </row>
    <row r="7">
      <c r="A7" s="12" t="inlineStr">
        <is>
          <t>Segregação</t>
        </is>
      </c>
      <c r="B7" s="12" t="inlineStr">
        <is>
          <t>Evidências do MinC identificadas</t>
        </is>
      </c>
      <c r="C7" s="11" t="inlineStr">
        <is>
          <t>PENDENTE</t>
        </is>
      </c>
      <c r="D7" s="11" t="inlineStr">
        <is>
          <t>PENDENTE</t>
        </is>
      </c>
      <c r="E7" s="11" t="inlineStr">
        <is>
          <t>PENDENTE</t>
        </is>
      </c>
      <c r="F7" s="11" t="inlineStr">
        <is>
          <t>PENDENTE</t>
        </is>
      </c>
      <c r="G7" s="12" t="inlineStr"/>
    </row>
    <row r="8">
      <c r="A8" s="12" t="inlineStr">
        <is>
          <t>Segregação</t>
        </is>
      </c>
      <c r="B8" s="12" t="inlineStr">
        <is>
          <t>Evidências do MTur identificadas</t>
        </is>
      </c>
      <c r="C8" s="11" t="inlineStr">
        <is>
          <t>PENDENTE</t>
        </is>
      </c>
      <c r="D8" s="11" t="inlineStr">
        <is>
          <t>PENDENTE</t>
        </is>
      </c>
      <c r="E8" s="11" t="inlineStr">
        <is>
          <t>PENDENTE</t>
        </is>
      </c>
      <c r="F8" s="11" t="inlineStr">
        <is>
          <t>PENDENTE</t>
        </is>
      </c>
      <c r="G8" s="12" t="inlineStr"/>
    </row>
    <row r="9">
      <c r="A9" s="12" t="inlineStr">
        <is>
          <t>Segregação</t>
        </is>
      </c>
      <c r="B9" s="12" t="inlineStr">
        <is>
          <t>Ambientes compartilhados identificados sem duplicidade</t>
        </is>
      </c>
      <c r="C9" s="11" t="inlineStr">
        <is>
          <t>PENDENTE</t>
        </is>
      </c>
      <c r="D9" s="11" t="inlineStr">
        <is>
          <t>PENDENTE</t>
        </is>
      </c>
      <c r="E9" s="11" t="inlineStr">
        <is>
          <t>PENDENTE</t>
        </is>
      </c>
      <c r="F9" s="11" t="inlineStr">
        <is>
          <t>PENDENTE</t>
        </is>
      </c>
      <c r="G9" s="12" t="inlineStr"/>
    </row>
    <row r="10">
      <c r="A10" s="12" t="inlineStr">
        <is>
          <t>Qualidade</t>
        </is>
      </c>
      <c r="B10" s="12" t="inlineStr">
        <is>
          <t>Metas e fórmulas conferidas</t>
        </is>
      </c>
      <c r="C10" s="11" t="inlineStr">
        <is>
          <t>PENDENTE</t>
        </is>
      </c>
      <c r="D10" s="11" t="inlineStr">
        <is>
          <t>PENDENTE</t>
        </is>
      </c>
      <c r="E10" s="11" t="inlineStr">
        <is>
          <t>PENDENTE</t>
        </is>
      </c>
      <c r="F10" s="11" t="inlineStr">
        <is>
          <t>PENDENTE</t>
        </is>
      </c>
      <c r="G10" s="12" t="inlineStr"/>
    </row>
    <row r="11">
      <c r="A11" s="12" t="inlineStr">
        <is>
          <t>Qualidade</t>
        </is>
      </c>
      <c r="B11" s="12" t="inlineStr">
        <is>
          <t>Indicadores não aplicáveis justificados</t>
        </is>
      </c>
      <c r="C11" s="11" t="inlineStr">
        <is>
          <t>PENDENTE</t>
        </is>
      </c>
      <c r="D11" s="11" t="inlineStr">
        <is>
          <t>PENDENTE</t>
        </is>
      </c>
      <c r="E11" s="11" t="inlineStr">
        <is>
          <t>PENDENTE</t>
        </is>
      </c>
      <c r="F11" s="11" t="inlineStr">
        <is>
          <t>PENDENTE</t>
        </is>
      </c>
      <c r="G11" s="12" t="inlineStr"/>
    </row>
    <row r="12">
      <c r="A12" s="12" t="inlineStr">
        <is>
          <t>Qualidade</t>
        </is>
      </c>
      <c r="B12" s="12" t="inlineStr">
        <is>
          <t>Indicadores abaixo da meta analisados</t>
        </is>
      </c>
      <c r="C12" s="11" t="inlineStr">
        <is>
          <t>PENDENTE</t>
        </is>
      </c>
      <c r="D12" s="11" t="inlineStr">
        <is>
          <t>PENDENTE</t>
        </is>
      </c>
      <c r="E12" s="11" t="inlineStr">
        <is>
          <t>PENDENTE</t>
        </is>
      </c>
      <c r="F12" s="11" t="inlineStr">
        <is>
          <t>PENDENTE</t>
        </is>
      </c>
      <c r="G12" s="12" t="inlineStr"/>
    </row>
    <row r="13">
      <c r="A13" s="12" t="inlineStr">
        <is>
          <t>Financeiro</t>
        </is>
      </c>
      <c r="B13" s="12" t="inlineStr">
        <is>
          <t>Glosas calculadas conforme o TR</t>
        </is>
      </c>
      <c r="C13" s="11" t="inlineStr">
        <is>
          <t>PENDENTE</t>
        </is>
      </c>
      <c r="D13" s="11" t="inlineStr">
        <is>
          <t>PENDENTE</t>
        </is>
      </c>
      <c r="E13" s="11" t="inlineStr">
        <is>
          <t>PENDENTE</t>
        </is>
      </c>
      <c r="F13" s="11" t="inlineStr">
        <is>
          <t>PENDENTE</t>
        </is>
      </c>
      <c r="G13" s="12" t="inlineStr"/>
    </row>
    <row r="14">
      <c r="A14" s="12" t="inlineStr">
        <is>
          <t>Financeiro</t>
        </is>
      </c>
      <c r="B14" s="12" t="inlineStr">
        <is>
          <t>Rateio MinC/MTur suportado por fonte oficial</t>
        </is>
      </c>
      <c r="C14" s="11" t="inlineStr">
        <is>
          <t>PENDENTE</t>
        </is>
      </c>
      <c r="D14" s="11" t="inlineStr">
        <is>
          <t>PENDENTE</t>
        </is>
      </c>
      <c r="E14" s="11" t="inlineStr">
        <is>
          <t>PENDENTE</t>
        </is>
      </c>
      <c r="F14" s="11" t="inlineStr">
        <is>
          <t>PENDENTE</t>
        </is>
      </c>
      <c r="G14" s="12" t="inlineStr"/>
    </row>
    <row r="15">
      <c r="A15" s="12" t="inlineStr">
        <is>
          <t>Pagamento</t>
        </is>
      </c>
      <c r="B15" s="12" t="inlineStr">
        <is>
          <t>Nota fiscal e competência conferidas</t>
        </is>
      </c>
      <c r="C15" s="11" t="inlineStr">
        <is>
          <t>PENDENTE</t>
        </is>
      </c>
      <c r="D15" s="11" t="inlineStr">
        <is>
          <t>PENDENTE</t>
        </is>
      </c>
      <c r="E15" s="11" t="inlineStr">
        <is>
          <t>PENDENTE</t>
        </is>
      </c>
      <c r="F15" s="11" t="inlineStr">
        <is>
          <t>PENDENTE</t>
        </is>
      </c>
      <c r="G15" s="12" t="inlineStr"/>
    </row>
    <row r="16">
      <c r="A16" s="12" t="inlineStr">
        <is>
          <t>Pagamento</t>
        </is>
      </c>
      <c r="B16" s="12" t="inlineStr">
        <is>
          <t>Valor faturado compatível</t>
        </is>
      </c>
      <c r="C16" s="11" t="inlineStr">
        <is>
          <t>PENDENTE</t>
        </is>
      </c>
      <c r="D16" s="11" t="inlineStr">
        <is>
          <t>PENDENTE</t>
        </is>
      </c>
      <c r="E16" s="11" t="inlineStr">
        <is>
          <t>PENDENTE</t>
        </is>
      </c>
      <c r="F16" s="11" t="inlineStr">
        <is>
          <t>PENDENTE</t>
        </is>
      </c>
      <c r="G16" s="12" t="inlineStr"/>
    </row>
    <row r="17">
      <c r="A17" s="12" t="inlineStr">
        <is>
          <t>Conclusão</t>
        </is>
      </c>
      <c r="B17" s="12" t="inlineStr">
        <is>
          <t>Pendências registradas</t>
        </is>
      </c>
      <c r="C17" s="11" t="inlineStr">
        <is>
          <t>PENDENTE</t>
        </is>
      </c>
      <c r="D17" s="11" t="inlineStr">
        <is>
          <t>PENDENTE</t>
        </is>
      </c>
      <c r="E17" s="11" t="inlineStr">
        <is>
          <t>PENDENTE</t>
        </is>
      </c>
      <c r="F17" s="11" t="inlineStr">
        <is>
          <t>PENDENTE</t>
        </is>
      </c>
      <c r="G17" s="12" t="inlineStr"/>
    </row>
    <row r="18">
      <c r="A18" s="12" t="inlineStr">
        <is>
          <t>Conclusão</t>
        </is>
      </c>
      <c r="B18" s="12" t="inlineStr">
        <is>
          <t>Manifestação técnica concluída</t>
        </is>
      </c>
      <c r="C18" s="11" t="inlineStr">
        <is>
          <t>PENDENTE</t>
        </is>
      </c>
      <c r="D18" s="11" t="inlineStr">
        <is>
          <t>PENDENTE</t>
        </is>
      </c>
      <c r="E18" s="11" t="inlineStr">
        <is>
          <t>PENDENTE</t>
        </is>
      </c>
      <c r="F18" s="11" t="inlineStr">
        <is>
          <t>PENDENTE</t>
        </is>
      </c>
      <c r="G18" s="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RELATÓRIO DO FISCAL TÉCNICO</t>
        </is>
      </c>
      <c r="B1" s="2" t="n"/>
      <c r="C1" s="2" t="n"/>
      <c r="D1" s="2" t="n"/>
      <c r="E1" s="2" t="n"/>
      <c r="F1" s="2" t="n"/>
      <c r="G1" s="2" t="n"/>
      <c r="H1" s="2" t="n"/>
      <c r="I1" s="8" t="inlineStr">
        <is>
          <t>VERSÃO 1.0 | EM ANÁLISE</t>
        </is>
      </c>
    </row>
    <row r="2">
      <c r="A2" s="9" t="inlineStr">
        <is>
          <t>Contrato nº 40/2022 | Competência Junho/2026</t>
        </is>
      </c>
      <c r="B2" s="2" t="n"/>
      <c r="C2" s="2" t="n"/>
      <c r="D2" s="2" t="n"/>
      <c r="E2" s="2" t="n"/>
      <c r="F2" s="2" t="n"/>
      <c r="G2" s="2" t="n"/>
      <c r="H2" s="2" t="n"/>
      <c r="I2" s="10" t="inlineStr">
        <is>
          <t>Execução 18/08/2026 | Dados: 49 dias | Responsável: Maria Aparecida Gomes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1. IDENTIFICAÇÃO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4" t="inlineStr">
        <is>
          <t>Contratada</t>
        </is>
      </c>
      <c r="B5" s="4" t="inlineStr">
        <is>
          <t>CENTRAL IT TECNOLOGIA DA INFORMAÇÃO S/A</t>
        </is>
      </c>
      <c r="C5" s="2" t="n"/>
      <c r="D5" s="2" t="n"/>
      <c r="E5" s="2" t="n"/>
      <c r="F5" s="2" t="n"/>
      <c r="G5" s="2" t="n"/>
      <c r="H5" s="2" t="n"/>
    </row>
    <row r="6">
      <c r="A6" s="4" t="inlineStr">
        <is>
          <t>CNPJ</t>
        </is>
      </c>
      <c r="B6" s="4" t="inlineStr">
        <is>
          <t>07.171.299/0001-96</t>
        </is>
      </c>
      <c r="C6" s="2" t="n"/>
      <c r="D6" s="2" t="n"/>
      <c r="E6" s="2" t="n"/>
      <c r="F6" s="2" t="n"/>
      <c r="G6" s="2" t="n"/>
      <c r="H6" s="2" t="n"/>
    </row>
    <row r="7">
      <c r="A7" s="4" t="inlineStr">
        <is>
          <t>Processo</t>
        </is>
      </c>
      <c r="B7" s="4" t="inlineStr">
        <is>
          <t>72031.010172/2020-97</t>
        </is>
      </c>
      <c r="C7" s="2" t="n"/>
      <c r="D7" s="2" t="n"/>
      <c r="E7" s="2" t="n"/>
      <c r="F7" s="2" t="n"/>
      <c r="G7" s="2" t="n"/>
      <c r="H7" s="2" t="n"/>
    </row>
    <row r="8">
      <c r="A8" s="4" t="inlineStr">
        <is>
          <t>Período</t>
        </is>
      </c>
      <c r="B8" s="4" t="inlineStr">
        <is>
          <t>01/06/2026 a 30/06/2026</t>
        </is>
      </c>
      <c r="C8" s="2" t="n"/>
      <c r="D8" s="2" t="n"/>
      <c r="E8" s="2" t="n"/>
      <c r="F8" s="2" t="n"/>
      <c r="G8" s="2" t="n"/>
      <c r="H8" s="2" t="n"/>
    </row>
    <row r="9">
      <c r="A9" s="4" t="inlineStr">
        <is>
          <t>Valor mensal</t>
        </is>
      </c>
      <c r="B9" s="5" t="n">
        <v>481534.8</v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6" t="inlineStr">
        <is>
          <t>2. OBJETO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Operação de infraestrutura e atendimento a usuários de TIC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3. RESULTADOS DA AFERIÇÃO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13" t="inlineStr">
        <is>
          <t>Órgão</t>
        </is>
      </c>
      <c r="B17" s="14" t="inlineStr">
        <is>
          <t>Conformes</t>
        </is>
      </c>
      <c r="C17" s="14" t="inlineStr">
        <is>
          <t>Não conformes</t>
        </is>
      </c>
      <c r="D17" s="14" t="inlineStr">
        <is>
          <t>Pendentes</t>
        </is>
      </c>
      <c r="E17" s="14" t="inlineStr">
        <is>
          <t>Pontos</t>
        </is>
      </c>
      <c r="F17" s="14" t="inlineStr">
        <is>
          <t>% glosa</t>
        </is>
      </c>
      <c r="G17" s="14" t="inlineStr">
        <is>
          <t>Valor glosa</t>
        </is>
      </c>
      <c r="H17" s="13" t="inlineStr">
        <is>
          <t>Observação</t>
        </is>
      </c>
    </row>
    <row r="18">
      <c r="A18" s="18" t="inlineStr">
        <is>
          <t>MinC</t>
        </is>
      </c>
      <c r="B18" s="15" t="n">
        <v>2</v>
      </c>
      <c r="C18" s="15" t="n">
        <v>6</v>
      </c>
      <c r="D18" s="15" t="n">
        <v>6</v>
      </c>
      <c r="E18" s="15" t="n">
        <v>42570.15</v>
      </c>
      <c r="F18" s="16" t="n">
        <v>30</v>
      </c>
      <c r="G18" s="21" t="n">
        <v>144460.44</v>
      </c>
      <c r="H18" s="12" t="inlineStr"/>
    </row>
    <row r="19">
      <c r="A19" s="22" t="inlineStr">
        <is>
          <t>MTur</t>
        </is>
      </c>
      <c r="B19" s="15" t="n">
        <v>6</v>
      </c>
      <c r="C19" s="15" t="n">
        <v>2</v>
      </c>
      <c r="D19" s="15" t="n">
        <v>6</v>
      </c>
      <c r="E19" s="15" t="n">
        <v>5022.48</v>
      </c>
      <c r="F19" s="16" t="n">
        <v>5.02248</v>
      </c>
      <c r="G19" s="21" t="n">
        <v>24184.99</v>
      </c>
      <c r="H19" s="12" t="inlineStr"/>
    </row>
    <row r="20">
      <c r="A20" s="23" t="inlineStr">
        <is>
          <t>Consolidado</t>
        </is>
      </c>
      <c r="B20" s="15" t="n">
        <v>3</v>
      </c>
      <c r="C20" s="15" t="n">
        <v>1</v>
      </c>
      <c r="D20" s="15" t="n">
        <v>5</v>
      </c>
      <c r="E20" s="15" t="n">
        <v>21473.88</v>
      </c>
      <c r="F20" s="16" t="n">
        <v>21.47388</v>
      </c>
      <c r="G20" s="21" t="n">
        <v>103404.21</v>
      </c>
      <c r="H20" s="12" t="inlineStr"/>
    </row>
    <row r="21">
      <c r="A21" s="23" t="inlineStr">
        <is>
          <t>Compartilhado</t>
        </is>
      </c>
      <c r="B21" s="15" t="n">
        <v>1</v>
      </c>
      <c r="C21" s="15" t="n">
        <v>4</v>
      </c>
      <c r="D21" s="15" t="n">
        <v>0</v>
      </c>
      <c r="E21" s="15" t="n">
        <v>26118.75</v>
      </c>
      <c r="F21" s="16" t="n">
        <v>26.11875</v>
      </c>
      <c r="G21" s="21" t="n">
        <v>125770.87</v>
      </c>
      <c r="H21" s="12" t="inlineStr">
        <is>
          <t>Indicadores compartilhados (blend/sem segregação)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6" t="inlineStr">
        <is>
          <t>4. SEGREGAÇÃO DOS SERVIÇOS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4" t="inlineStr">
        <is>
          <t>Os resultados devem distinguir MinC e MTur em todos os serviços prestados a ambos. Indicadores sem segregação técnica (telefonia 1.11/1.12 e disponibilidade em média consolidada 1.4/1.5/1.14) são classificados como Compartilhado.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6" t="inlineStr">
        <is>
          <t>5. OCORRÊNCIAS E GLOSAS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4" t="inlineStr">
        <is>
          <t>Foram identificados indicadores abaixo das metas: 1.4, 1.7, 1.11, 1.12, 1.14. Consultar as abas INMS_BASE e GLOSAS para a memória detalhada.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6" t="inlineStr">
        <is>
          <t>6. CONCLUSÃO DO FISCAL TÉCNICO</t>
        </is>
      </c>
      <c r="B29" s="2" t="n"/>
      <c r="C29" s="2" t="n"/>
      <c r="D29" s="2" t="n"/>
      <c r="E29" s="2" t="n"/>
      <c r="F29" s="2" t="n"/>
      <c r="G29" s="2" t="n"/>
      <c r="H29" s="2" t="n"/>
    </row>
    <row r="30">
      <c r="A30" s="4" t="inlineStr">
        <is>
          <t>A aferição permanece PENDENTE, pois existem indicadores ou evidências sem conclusão (1.3, 1.8, 1.9, 1.10, 1.13).</t>
        </is>
      </c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4" t="inlineStr">
        <is>
          <t>Valor recomendado para pagamento</t>
        </is>
      </c>
      <c r="B32" s="5" t="n">
        <v>337074.36</v>
      </c>
      <c r="C32" s="2" t="n"/>
      <c r="D32" s="2" t="n"/>
      <c r="E32" s="4" t="inlineStr">
        <is>
          <t>Situação</t>
        </is>
      </c>
      <c r="F32" s="40" t="inlineStr">
        <is>
          <t>PENDENTE</t>
        </is>
      </c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4" t="inlineStr">
        <is>
          <t>Fiscal Técnico: Maria Aparecida Gomes ____________________________________</t>
        </is>
      </c>
      <c r="B34" s="2" t="n"/>
      <c r="C34" s="2" t="n"/>
      <c r="D34" s="2" t="n"/>
      <c r="E34" s="4" t="inlineStr">
        <is>
          <t>Data: 18/08/2026</t>
        </is>
      </c>
      <c r="F34" s="2" t="n"/>
      <c r="G34" s="2" t="n"/>
      <c r="H34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7" customWidth="1" min="3" max="3"/>
    <col width="16" customWidth="1" min="4" max="4"/>
    <col width="9" customWidth="1" min="5" max="5"/>
  </cols>
  <sheetData>
    <row r="1">
      <c r="A1" s="1" t="inlineStr">
        <is>
          <t>PAINEL GERENCIAL DA COMPETENCIA</t>
        </is>
      </c>
      <c r="B1" s="2" t="n"/>
      <c r="C1" s="2" t="n"/>
      <c r="D1" s="2" t="n"/>
      <c r="E1" s="2" t="n"/>
      <c r="I1" s="8" t="inlineStr">
        <is>
          <t>VERSÃO 1.0 | EM ANÁLISE</t>
        </is>
      </c>
    </row>
    <row r="2">
      <c r="A2" s="9" t="inlineStr">
        <is>
          <t>Contrato nº 40/2022 | Competência Junho/2026</t>
        </is>
      </c>
      <c r="B2" s="2" t="n"/>
      <c r="C2" s="2" t="n"/>
      <c r="D2" s="2" t="n"/>
      <c r="E2" s="2" t="n"/>
      <c r="I2" s="10" t="inlineStr">
        <is>
          <t>Execução 18/08/2026 | Dados: 49 dias | Responsável: Maria Aparecida Gomes</t>
        </is>
      </c>
    </row>
    <row r="3">
      <c r="A3" s="13" t="inlineStr">
        <is>
          <t>Grupo</t>
        </is>
      </c>
      <c r="B3" s="14" t="inlineStr">
        <is>
          <t>Conformes</t>
        </is>
      </c>
      <c r="C3" s="14" t="inlineStr">
        <is>
          <t>Nao conformes</t>
        </is>
      </c>
      <c r="D3" s="14" t="inlineStr">
        <is>
          <t>Pendentes</t>
        </is>
      </c>
      <c r="E3" s="14" t="inlineStr">
        <is>
          <t>Total</t>
        </is>
      </c>
    </row>
    <row r="4">
      <c r="A4" s="12" t="inlineStr">
        <is>
          <t>Atendimento Remoto N1</t>
        </is>
      </c>
      <c r="B4" s="15" t="n">
        <v>3</v>
      </c>
      <c r="C4" s="15" t="n">
        <v>3</v>
      </c>
      <c r="D4" s="15" t="n">
        <v>1</v>
      </c>
      <c r="E4" s="15" t="n">
        <v>7</v>
      </c>
    </row>
    <row r="5">
      <c r="A5" s="12" t="inlineStr">
        <is>
          <t>Monitoramento NOC/SOC</t>
        </is>
      </c>
      <c r="B5" s="15" t="n">
        <v>1</v>
      </c>
      <c r="C5" s="15" t="n">
        <v>1</v>
      </c>
      <c r="D5" s="15" t="n">
        <v>0</v>
      </c>
      <c r="E5" s="15" t="n">
        <v>2</v>
      </c>
    </row>
    <row r="6">
      <c r="A6" s="12" t="inlineStr">
        <is>
          <t>Gerenciamento Tecnico</t>
        </is>
      </c>
      <c r="B6" s="15" t="n">
        <v>0</v>
      </c>
      <c r="C6" s="15" t="n">
        <v>0</v>
      </c>
      <c r="D6" s="15" t="n">
        <v>2</v>
      </c>
      <c r="E6" s="15" t="n">
        <v>2</v>
      </c>
    </row>
    <row r="7">
      <c r="A7" s="12" t="inlineStr">
        <is>
          <t>Atendimento Presencial N2</t>
        </is>
      </c>
      <c r="B7" s="15" t="n">
        <v>0</v>
      </c>
      <c r="C7" s="15" t="n">
        <v>0</v>
      </c>
      <c r="D7" s="15" t="n">
        <v>1</v>
      </c>
      <c r="E7" s="15" t="n">
        <v>1</v>
      </c>
    </row>
    <row r="8">
      <c r="A8" s="12" t="inlineStr">
        <is>
          <t>Operacao e Sustentacao N3</t>
        </is>
      </c>
      <c r="B8" s="15" t="n">
        <v>0</v>
      </c>
      <c r="C8" s="15" t="n">
        <v>1</v>
      </c>
      <c r="D8" s="15" t="n">
        <v>1</v>
      </c>
      <c r="E8" s="15" t="n">
        <v>2</v>
      </c>
    </row>
    <row r="9">
      <c r="A9" s="2" t="n"/>
      <c r="B9" s="2" t="n"/>
      <c r="C9" s="2" t="n"/>
      <c r="D9" s="2" t="n"/>
      <c r="E9" s="2" t="n"/>
    </row>
    <row r="10">
      <c r="A10" s="6" t="inlineStr">
        <is>
          <t>Resumo Executivo</t>
        </is>
      </c>
      <c r="B10" s="2" t="n"/>
      <c r="C10" s="2" t="n"/>
      <c r="D10" s="2" t="n"/>
      <c r="E10" s="2" t="n"/>
    </row>
    <row r="11">
      <c r="A11" s="3" t="inlineStr">
        <is>
          <t>Total de Indicadores</t>
        </is>
      </c>
      <c r="B11" s="4" t="n">
        <v>14</v>
      </c>
      <c r="C11" s="2" t="n"/>
      <c r="D11" s="2" t="n"/>
      <c r="E11" s="2" t="n"/>
    </row>
    <row r="12">
      <c r="A12" s="3" t="inlineStr">
        <is>
          <t>Conformes</t>
        </is>
      </c>
      <c r="B12" s="4" t="n">
        <v>4</v>
      </c>
      <c r="C12" s="2" t="n"/>
      <c r="D12" s="2" t="n"/>
      <c r="E12" s="2" t="n"/>
    </row>
    <row r="13">
      <c r="A13" s="3" t="inlineStr">
        <is>
          <t>Nao Conformes</t>
        </is>
      </c>
      <c r="B13" s="4" t="n">
        <v>5</v>
      </c>
      <c r="C13" s="2" t="n"/>
      <c r="D13" s="2" t="n"/>
      <c r="E13" s="2" t="n"/>
    </row>
    <row r="14">
      <c r="A14" s="3" t="inlineStr">
        <is>
          <t>N/D</t>
        </is>
      </c>
      <c r="B14" s="4" t="n">
        <v>5</v>
      </c>
      <c r="C14" s="2" t="n"/>
      <c r="D14" s="2" t="n"/>
      <c r="E14" s="2" t="n"/>
    </row>
    <row r="15">
      <c r="A15" s="3" t="inlineStr">
        <is>
          <t>Percentual de Conformidade</t>
        </is>
      </c>
      <c r="B15" s="4" t="inlineStr">
        <is>
          <t>28.6%</t>
        </is>
      </c>
      <c r="C15" s="2" t="n"/>
      <c r="D15" s="2" t="n"/>
      <c r="E15" s="2" t="n"/>
    </row>
    <row r="16">
      <c r="A16" s="3" t="inlineStr">
        <is>
          <t>Pontos de Penalidade</t>
        </is>
      </c>
      <c r="B16" s="4" t="n">
        <v>47592.63</v>
      </c>
      <c r="C16" s="2" t="n"/>
      <c r="D16" s="2" t="n"/>
      <c r="E16" s="2" t="n"/>
    </row>
    <row r="17">
      <c r="A17" s="3" t="inlineStr">
        <is>
          <t>Glosa Aplicada</t>
        </is>
      </c>
      <c r="B17" s="4" t="inlineStr">
        <is>
          <t>30.0000%</t>
        </is>
      </c>
      <c r="C17" s="2" t="n"/>
      <c r="D17" s="2" t="n"/>
      <c r="E17" s="2" t="n"/>
    </row>
    <row r="18">
      <c r="A18" s="3" t="inlineStr">
        <is>
          <t>Valor Mensal</t>
        </is>
      </c>
      <c r="B18" s="5" t="n">
        <v>481534.8</v>
      </c>
      <c r="C18" s="2" t="n"/>
      <c r="D18" s="2" t="n"/>
      <c r="E18" s="2" t="n"/>
    </row>
    <row r="19">
      <c r="A19" s="3" t="inlineStr">
        <is>
          <t>Valor Glosa</t>
        </is>
      </c>
      <c r="B19" s="5" t="n">
        <v>144460.44</v>
      </c>
      <c r="C19" s="2" t="n"/>
      <c r="D19" s="2" t="n"/>
      <c r="E19" s="2" t="n"/>
    </row>
    <row r="20">
      <c r="A20" s="3" t="inlineStr">
        <is>
          <t>Valor Recomendado</t>
        </is>
      </c>
      <c r="B20" s="5" t="n">
        <v>337074.36</v>
      </c>
      <c r="C20" s="2" t="n"/>
      <c r="D20" s="2" t="n"/>
      <c r="E20" s="2" t="n"/>
    </row>
    <row r="21">
      <c r="A21" s="3" t="inlineStr">
        <is>
          <t>Classificacao TAE</t>
        </is>
      </c>
      <c r="B21" s="4" t="inlineStr">
        <is>
          <t>Conforme com glosa</t>
        </is>
      </c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6" t="inlineStr">
        <is>
          <t>Distribuicao por Indicador</t>
        </is>
      </c>
      <c r="B23" s="2" t="n"/>
      <c r="C23" s="2" t="n"/>
      <c r="D23" s="2" t="n"/>
      <c r="E23" s="2" t="n"/>
    </row>
    <row r="24">
      <c r="A24" s="13" t="inlineStr">
        <is>
          <t>INMS</t>
        </is>
      </c>
      <c r="B24" s="14" t="inlineStr">
        <is>
          <t>Resultado</t>
        </is>
      </c>
      <c r="C24" s="14" t="inlineStr">
        <is>
          <t>Meta</t>
        </is>
      </c>
      <c r="D24" s="13" t="inlineStr">
        <is>
          <t>Status</t>
        </is>
      </c>
      <c r="E24" s="2" t="n"/>
    </row>
    <row r="25">
      <c r="A25" s="11" t="inlineStr">
        <is>
          <t>1.1</t>
        </is>
      </c>
      <c r="B25" s="16" t="n">
        <v>100</v>
      </c>
      <c r="C25" s="16" t="n">
        <v>98</v>
      </c>
      <c r="D25" s="28" t="inlineStr">
        <is>
          <t>Conforme</t>
        </is>
      </c>
      <c r="E25" s="2" t="n"/>
    </row>
    <row r="26">
      <c r="A26" s="11" t="inlineStr">
        <is>
          <t>1.2</t>
        </is>
      </c>
      <c r="B26" s="16" t="n">
        <v>95.79000000000001</v>
      </c>
      <c r="C26" s="16" t="n">
        <v>95</v>
      </c>
      <c r="D26" s="28" t="inlineStr">
        <is>
          <t>Conforme</t>
        </is>
      </c>
      <c r="E26" s="2" t="n"/>
    </row>
    <row r="27">
      <c r="A27" s="11" t="inlineStr">
        <is>
          <t>1.3</t>
        </is>
      </c>
      <c r="B27" s="16" t="n"/>
      <c r="C27" s="16" t="n">
        <v>100</v>
      </c>
      <c r="D27" s="26" t="inlineStr">
        <is>
          <t>N/D</t>
        </is>
      </c>
      <c r="E27" s="2" t="n"/>
    </row>
    <row r="28">
      <c r="A28" s="11" t="inlineStr">
        <is>
          <t>1.4</t>
        </is>
      </c>
      <c r="B28" s="16" t="n">
        <v>99.47</v>
      </c>
      <c r="C28" s="16" t="n">
        <v>99.5</v>
      </c>
      <c r="D28" s="27" t="inlineStr">
        <is>
          <t>Nao conforme</t>
        </is>
      </c>
      <c r="E28" s="2" t="n"/>
    </row>
    <row r="29">
      <c r="A29" s="11" t="inlineStr">
        <is>
          <t>1.5</t>
        </is>
      </c>
      <c r="B29" s="16" t="n">
        <v>99.66</v>
      </c>
      <c r="C29" s="16" t="n">
        <v>99</v>
      </c>
      <c r="D29" s="28" t="inlineStr">
        <is>
          <t>Conforme</t>
        </is>
      </c>
      <c r="E29" s="2" t="n"/>
    </row>
    <row r="30">
      <c r="A30" s="11" t="inlineStr">
        <is>
          <t>1.6</t>
        </is>
      </c>
      <c r="B30" s="16" t="n">
        <v>99.88</v>
      </c>
      <c r="C30" s="16" t="n">
        <v>97</v>
      </c>
      <c r="D30" s="28" t="inlineStr">
        <is>
          <t>Conforme</t>
        </is>
      </c>
      <c r="E30" s="2" t="n"/>
    </row>
    <row r="31">
      <c r="A31" s="11" t="inlineStr">
        <is>
          <t>1.7</t>
        </is>
      </c>
      <c r="B31" s="16" t="n">
        <v>2.46</v>
      </c>
      <c r="C31" s="16" t="n">
        <v>80</v>
      </c>
      <c r="D31" s="27" t="inlineStr">
        <is>
          <t>Nao conforme</t>
        </is>
      </c>
      <c r="E31" s="2" t="n"/>
    </row>
    <row r="32">
      <c r="A32" s="11" t="inlineStr">
        <is>
          <t>1.8</t>
        </is>
      </c>
      <c r="B32" s="16" t="n"/>
      <c r="C32" s="16" t="n">
        <v>0</v>
      </c>
      <c r="D32" s="26" t="inlineStr">
        <is>
          <t>N/D</t>
        </is>
      </c>
      <c r="E32" s="2" t="n"/>
    </row>
    <row r="33">
      <c r="A33" s="11" t="inlineStr">
        <is>
          <t>1.9</t>
        </is>
      </c>
      <c r="B33" s="16" t="n"/>
      <c r="C33" s="16" t="n">
        <v>90</v>
      </c>
      <c r="D33" s="26" t="inlineStr">
        <is>
          <t>N/D</t>
        </is>
      </c>
      <c r="E33" s="2" t="n"/>
    </row>
    <row r="34">
      <c r="A34" s="11" t="inlineStr">
        <is>
          <t>1.10</t>
        </is>
      </c>
      <c r="B34" s="16" t="n"/>
      <c r="C34" s="16" t="n">
        <v>100</v>
      </c>
      <c r="D34" s="26" t="inlineStr">
        <is>
          <t>N/D</t>
        </is>
      </c>
      <c r="E34" s="2" t="n"/>
    </row>
    <row r="35">
      <c r="A35" s="11" t="inlineStr">
        <is>
          <t>1.11</t>
        </is>
      </c>
      <c r="B35" s="16" t="n">
        <v>51.89</v>
      </c>
      <c r="C35" s="16" t="n">
        <v>5</v>
      </c>
      <c r="D35" s="27" t="inlineStr">
        <is>
          <t>Nao conforme</t>
        </is>
      </c>
      <c r="E35" s="2" t="n"/>
    </row>
    <row r="36">
      <c r="A36" s="11" t="inlineStr">
        <is>
          <t>1.12</t>
        </is>
      </c>
      <c r="B36" s="16" t="n">
        <v>85.14</v>
      </c>
      <c r="C36" s="16" t="n">
        <v>95</v>
      </c>
      <c r="D36" s="27" t="inlineStr">
        <is>
          <t>Nao conforme</t>
        </is>
      </c>
      <c r="E36" s="2" t="n"/>
    </row>
    <row r="37">
      <c r="A37" s="11" t="inlineStr">
        <is>
          <t>1.13</t>
        </is>
      </c>
      <c r="B37" s="16" t="n">
        <v>100</v>
      </c>
      <c r="C37" s="16" t="n"/>
      <c r="D37" s="26" t="inlineStr">
        <is>
          <t>N/D</t>
        </is>
      </c>
      <c r="E37" s="2" t="n"/>
    </row>
    <row r="38">
      <c r="A38" s="11" t="inlineStr">
        <is>
          <t>1.14</t>
        </is>
      </c>
      <c r="B38" s="16" t="n">
        <v>97.5</v>
      </c>
      <c r="C38" s="16" t="n">
        <v>99.5</v>
      </c>
      <c r="D38" s="27" t="inlineStr">
        <is>
          <t>Nao conforme</t>
        </is>
      </c>
      <c r="E38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9" customWidth="1" min="3" max="3"/>
    <col width="11" customWidth="1" min="4" max="4"/>
    <col width="15" customWidth="1" min="5" max="5"/>
    <col width="21" customWidth="1" min="6" max="6"/>
    <col width="13" customWidth="1" min="7" max="7"/>
    <col width="17" customWidth="1" min="8" max="8"/>
    <col width="13" customWidth="1" min="9" max="9"/>
  </cols>
  <sheetData>
    <row r="1">
      <c r="A1" s="1" t="inlineStr">
        <is>
          <t>HISTORICO DE AFERICOES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8" t="inlineStr">
        <is>
          <t>VERSÃO 1.0 | EM ANÁLISE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10" t="inlineStr">
        <is>
          <t>Execução 18/08/2026 | Dados: 49 dias | Responsável: Maria Aparecida Gomes</t>
        </is>
      </c>
    </row>
    <row r="3">
      <c r="A3" s="13" t="inlineStr">
        <is>
          <t>Competencia</t>
        </is>
      </c>
      <c r="B3" s="14" t="inlineStr">
        <is>
          <t>Valor Bruto</t>
        </is>
      </c>
      <c r="C3" s="14" t="inlineStr">
        <is>
          <t>Pontos de Glosa</t>
        </is>
      </c>
      <c r="D3" s="14" t="inlineStr">
        <is>
          <t>% Glosa</t>
        </is>
      </c>
      <c r="E3" s="14" t="inlineStr">
        <is>
          <t>Valor Glosa</t>
        </is>
      </c>
      <c r="F3" s="14" t="inlineStr">
        <is>
          <t>Valor Recomendado</t>
        </is>
      </c>
      <c r="G3" s="14" t="inlineStr">
        <is>
          <t>Conformes</t>
        </is>
      </c>
      <c r="H3" s="14" t="inlineStr">
        <is>
          <t>Nao Conformes</t>
        </is>
      </c>
      <c r="I3" s="14" t="inlineStr">
        <is>
          <t>Pendentes</t>
        </is>
      </c>
    </row>
    <row r="4">
      <c r="A4" s="12" t="inlineStr">
        <is>
          <t>Junho/2026</t>
        </is>
      </c>
      <c r="B4" s="21" t="n">
        <v>481534.8</v>
      </c>
      <c r="C4" s="15" t="n">
        <v>47592.63</v>
      </c>
      <c r="D4" s="16" t="n">
        <v>30</v>
      </c>
      <c r="E4" s="21" t="n">
        <v>144460.44</v>
      </c>
      <c r="F4" s="21" t="n">
        <v>337074.36</v>
      </c>
      <c r="G4" s="15" t="n">
        <v>4</v>
      </c>
      <c r="H4" s="15" t="n">
        <v>5</v>
      </c>
      <c r="I4" s="1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FONTES DOCUMENTAIS E PREMISSAS</t>
        </is>
      </c>
      <c r="B1" s="2" t="n"/>
      <c r="C1" s="2" t="n"/>
      <c r="D1" s="2" t="n"/>
      <c r="I1" s="8" t="inlineStr">
        <is>
          <t>VERSÃO 1.0 | EM ANÁLISE</t>
        </is>
      </c>
    </row>
    <row r="2">
      <c r="A2" s="9" t="inlineStr">
        <is>
          <t>Contrato nº 40/2022 | Competência Junho/2026</t>
        </is>
      </c>
      <c r="B2" s="2" t="n"/>
      <c r="C2" s="2" t="n"/>
      <c r="D2" s="2" t="n"/>
      <c r="I2" s="10" t="inlineStr">
        <is>
          <t>Execução 18/08/2026 | Dados: 49 dias | Responsável: Maria Aparecida Gomes</t>
        </is>
      </c>
    </row>
    <row r="3">
      <c r="A3" s="13" t="inlineStr">
        <is>
          <t>Documento</t>
        </is>
      </c>
      <c r="B3" s="13" t="inlineStr">
        <is>
          <t>Identificação</t>
        </is>
      </c>
      <c r="C3" s="13" t="inlineStr">
        <is>
          <t>Uso na planilha</t>
        </is>
      </c>
      <c r="D3" s="13" t="inlineStr">
        <is>
          <t>Observação</t>
        </is>
      </c>
    </row>
    <row r="4">
      <c r="A4" s="12" t="inlineStr">
        <is>
          <t>Termo de Referência</t>
        </is>
      </c>
      <c r="B4" s="12" t="inlineStr">
        <is>
          <t>SEI/MTur nº 1042741</t>
        </is>
      </c>
      <c r="C4" s="12" t="inlineStr">
        <is>
          <t>Objeto, serviços, metas, fórmulas, pontuação e glosa</t>
        </is>
      </c>
      <c r="D4" s="12" t="inlineStr">
        <is>
          <t>Arquivo TR.html fornecido pelo usuário.</t>
        </is>
      </c>
    </row>
    <row r="5">
      <c r="A5" s="12" t="inlineStr">
        <is>
          <t>Contrato</t>
        </is>
      </c>
      <c r="B5" s="12" t="inlineStr">
        <is>
          <t>Contrato nº 40/2022, SEI nº 1042898</t>
        </is>
      </c>
      <c r="C5" s="12" t="inlineStr">
        <is>
          <t>Partes, objeto, processo, CNPJ e regras gerais</t>
        </is>
      </c>
      <c r="D5" s="12" t="inlineStr">
        <is>
          <t>Arquivo HTML fornecido pelo usuário.</t>
        </is>
      </c>
    </row>
    <row r="6">
      <c r="A6" s="12" t="inlineStr">
        <is>
          <t>Nota Técnica</t>
        </is>
      </c>
      <c r="B6" s="12" t="inlineStr">
        <is>
          <t>Nota Técnica nº 40/2026, SEI nº 2973218</t>
        </is>
      </c>
      <c r="C6" s="12" t="inlineStr">
        <is>
          <t>Valor mensal vigente e valor global anual</t>
        </is>
      </c>
      <c r="D6" s="12" t="inlineStr">
        <is>
          <t>Documento PDF fornecido pelo usuário.</t>
        </is>
      </c>
    </row>
    <row r="7">
      <c r="A7" s="12" t="inlineStr">
        <is>
          <t>Apostilamento</t>
        </is>
      </c>
      <c r="B7" s="12" t="inlineStr">
        <is>
          <t>5º Termo de Apostilamento, SEI nº 2921657</t>
        </is>
      </c>
      <c r="C7" s="12" t="inlineStr">
        <is>
          <t>Alteração de valor/vigência e última versão do contrato</t>
        </is>
      </c>
      <c r="D7" s="12" t="inlineStr">
        <is>
          <t>Documento fornecido pelo usuário.</t>
        </is>
      </c>
    </row>
    <row r="8">
      <c r="A8" s="12" t="inlineStr">
        <is>
          <t>Aferição mensal</t>
        </is>
      </c>
      <c r="B8" s="12" t="inlineStr">
        <is>
          <t>Aferição dos Fiscais, competência Junho/2026</t>
        </is>
      </c>
      <c r="C8" s="12" t="inlineStr">
        <is>
          <t>Resultados consolidados da competência</t>
        </is>
      </c>
      <c r="D8" s="12" t="inlineStr">
        <is>
          <t>Documento fornecido pelo usuário; evidências separadas por MinC e MTur.</t>
        </is>
      </c>
    </row>
    <row r="9">
      <c r="A9" s="2" t="n"/>
      <c r="B9" s="2" t="n"/>
      <c r="C9" s="2" t="n"/>
      <c r="D9" s="2" t="n"/>
    </row>
    <row r="10">
      <c r="A10" s="6" t="inlineStr">
        <is>
          <t>PREMISSAS E LIMITAÇÕES</t>
        </is>
      </c>
      <c r="B10" s="2" t="n"/>
      <c r="C10" s="2" t="n"/>
      <c r="D10" s="2" t="n"/>
    </row>
    <row r="11">
      <c r="A11" s="4" t="inlineStr">
        <is>
          <t>1. Os resultados consolidados da competência foram apurados a partir dos dados de entrada; valores individualizados de MinC e MTur seguem a segregação das evidências.</t>
        </is>
      </c>
      <c r="B11" s="2" t="n"/>
      <c r="C11" s="2" t="n"/>
      <c r="D11" s="2" t="n"/>
    </row>
    <row r="12">
      <c r="A12" s="4" t="inlineStr">
        <is>
          <t>2. INMS 1.2 utiliza provisoriamente 15 pontos por 0,1 ponto percentual abaixo da meta. O TR diferencia alta, média e baixa prioridades; para cálculo rigoroso, preencher por prioridade.</t>
        </is>
      </c>
      <c r="B12" s="2" t="n"/>
      <c r="C12" s="2" t="n"/>
      <c r="D12" s="2" t="n"/>
    </row>
    <row r="13">
      <c r="A13" s="4" t="inlineStr">
        <is>
          <t>3. INMS 1.4, 1.5 e 1.14 devem ser aferidos por sistema ou serviço. Enquanto a evidência per-sistema não está disponível, a média consolidada é usada com aviso de classificação Compartilhado.</t>
        </is>
      </c>
      <c r="B13" s="2" t="n"/>
      <c r="C13" s="2" t="n"/>
      <c r="D13" s="2" t="n"/>
    </row>
    <row r="14">
      <c r="A14" s="4" t="inlineStr">
        <is>
          <t>4. A incidência financeira é calculada apenas em registros Consolidado ou Compartilhado, para impedir glosa em duplicidade pelas linhas MinC e MTur.</t>
        </is>
      </c>
      <c r="B14" s="2" t="n"/>
      <c r="C14" s="2" t="n"/>
      <c r="D14" s="2" t="n"/>
    </row>
    <row r="15">
      <c r="A15" s="4" t="inlineStr">
        <is>
          <t>5. O rateio MinC/MTur de 50%/50% é apenas um campo inicial editável e exige substituição por parâmetro oficial antes do ateste final.</t>
        </is>
      </c>
      <c r="B15" s="2" t="n"/>
      <c r="C15" s="2" t="n"/>
      <c r="D15" s="2" t="n"/>
    </row>
    <row r="16">
      <c r="A16" s="4" t="inlineStr">
        <is>
          <t>6. O limite mensal de glosa é 30% do valor total mensal; eventual saldo excedente deve ser tratado pelo gestor conforme o Termo de Referência.</t>
        </is>
      </c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6" t="inlineStr">
        <is>
          <t>LEGENDA DE CORES</t>
        </is>
      </c>
      <c r="B18" s="2" t="n"/>
      <c r="C18" s="2" t="n"/>
      <c r="D18" s="2" t="n"/>
    </row>
    <row r="19">
      <c r="A19" s="4" t="inlineStr">
        <is>
          <t>Azul</t>
        </is>
      </c>
      <c r="B19" s="4" t="inlineStr">
        <is>
          <t>Entrada do usuário</t>
        </is>
      </c>
      <c r="C19" s="2" t="n"/>
      <c r="D19" s="2" t="n"/>
    </row>
    <row r="20">
      <c r="A20" s="4" t="inlineStr">
        <is>
          <t>Verde</t>
        </is>
      </c>
      <c r="B20" s="4" t="inlineStr">
        <is>
          <t>Dado importado/vinculado</t>
        </is>
      </c>
      <c r="C20" s="2" t="n"/>
      <c r="D20" s="2" t="n"/>
    </row>
    <row r="21">
      <c r="A21" s="4" t="inlineStr">
        <is>
          <t>Preto</t>
        </is>
      </c>
      <c r="B21" s="4" t="inlineStr">
        <is>
          <t>Fórmula ou cálculo</t>
        </is>
      </c>
      <c r="C21" s="2" t="n"/>
      <c r="D21" s="2" t="n"/>
    </row>
    <row r="22">
      <c r="A22" s="4" t="inlineStr">
        <is>
          <t>Amarelo</t>
        </is>
      </c>
      <c r="B22" s="4" t="inlineStr">
        <is>
          <t>Atenção ou preenchimento pendente</t>
        </is>
      </c>
      <c r="C22" s="2" t="n"/>
      <c r="D22" s="2" t="n"/>
    </row>
    <row r="23">
      <c r="A23" s="4" t="inlineStr">
        <is>
          <t>Vermelho claro</t>
        </is>
      </c>
      <c r="B23" s="4" t="inlineStr">
        <is>
          <t>Erro ou não conformidade</t>
        </is>
      </c>
      <c r="C23" s="2" t="n"/>
      <c r="D23" s="2" t="n"/>
    </row>
    <row r="24">
      <c r="A24" s="4" t="inlineStr">
        <is>
          <t>Roxo</t>
        </is>
      </c>
      <c r="B24" s="4" t="inlineStr">
        <is>
          <t>Controle/lógica</t>
        </is>
      </c>
      <c r="C24" s="2" t="n"/>
      <c r="D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2026-08-18T10:10:27Z</dcterms:created>
  <dcterms:modified xsi:type="dcterms:W3CDTF">2026-08-18T10:10:27Z</dcterms:modified>
</cp:coreProperties>
</file>