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pyauditor\docs\aferição\"/>
    </mc:Choice>
  </mc:AlternateContent>
  <xr:revisionPtr revIDLastSave="0" documentId="13_ncr:1_{853A8A11-C8E0-461A-9CB3-34802466D2D9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Avaliação SLA" sheetId="1" r:id="rId1"/>
    <sheet name="Parâmetros" sheetId="2" r:id="rId2"/>
    <sheet name="Instruções" sheetId="3" r:id="rId3"/>
    <sheet name="Resumo" sheetId="4" r:id="rId4"/>
  </sheets>
  <definedNames>
    <definedName name="_xlnm.Print_Titles" localSheetId="0">'Avaliação SLA'!$1:$4</definedName>
  </definedNames>
  <calcPr calcId="191028" iterateDelta="1E-4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6" i="1" l="1"/>
  <c r="E6" i="1" s="1"/>
  <c r="L124" i="1"/>
  <c r="E124" i="1"/>
  <c r="H124" i="1" s="1"/>
  <c r="L123" i="1"/>
  <c r="E123" i="1"/>
  <c r="H123" i="1" s="1"/>
  <c r="L122" i="1"/>
  <c r="E122" i="1"/>
  <c r="H122" i="1" s="1"/>
  <c r="L121" i="1"/>
  <c r="E121" i="1"/>
  <c r="H121" i="1" s="1"/>
  <c r="L120" i="1"/>
  <c r="E120" i="1"/>
  <c r="H120" i="1" s="1"/>
  <c r="L119" i="1"/>
  <c r="E119" i="1"/>
  <c r="H119" i="1" s="1"/>
  <c r="L118" i="1"/>
  <c r="E118" i="1"/>
  <c r="H118" i="1" s="1"/>
  <c r="L117" i="1"/>
  <c r="E117" i="1"/>
  <c r="H117" i="1" s="1"/>
  <c r="L116" i="1"/>
  <c r="E116" i="1"/>
  <c r="H116" i="1" s="1"/>
  <c r="L115" i="1"/>
  <c r="E115" i="1"/>
  <c r="H115" i="1" s="1"/>
  <c r="L114" i="1"/>
  <c r="E114" i="1"/>
  <c r="H114" i="1" s="1"/>
  <c r="L113" i="1"/>
  <c r="E113" i="1"/>
  <c r="H113" i="1" s="1"/>
  <c r="L112" i="1"/>
  <c r="E112" i="1"/>
  <c r="H112" i="1" s="1"/>
  <c r="L111" i="1"/>
  <c r="E111" i="1"/>
  <c r="H111" i="1" s="1"/>
  <c r="L110" i="1"/>
  <c r="E110" i="1"/>
  <c r="H110" i="1" s="1"/>
  <c r="L109" i="1"/>
  <c r="E109" i="1"/>
  <c r="H109" i="1" s="1"/>
  <c r="L108" i="1"/>
  <c r="E108" i="1"/>
  <c r="H108" i="1" s="1"/>
  <c r="L107" i="1"/>
  <c r="E107" i="1"/>
  <c r="H107" i="1" s="1"/>
  <c r="L106" i="1"/>
  <c r="E106" i="1"/>
  <c r="H106" i="1" s="1"/>
  <c r="L105" i="1"/>
  <c r="E105" i="1"/>
  <c r="H105" i="1" s="1"/>
  <c r="L104" i="1"/>
  <c r="E104" i="1"/>
  <c r="H104" i="1" s="1"/>
  <c r="L103" i="1"/>
  <c r="E103" i="1"/>
  <c r="H103" i="1" s="1"/>
  <c r="L102" i="1"/>
  <c r="E102" i="1"/>
  <c r="H102" i="1" s="1"/>
  <c r="L101" i="1"/>
  <c r="E101" i="1"/>
  <c r="H101" i="1" s="1"/>
  <c r="L100" i="1"/>
  <c r="E100" i="1"/>
  <c r="H100" i="1" s="1"/>
  <c r="L99" i="1"/>
  <c r="E99" i="1"/>
  <c r="H99" i="1" s="1"/>
  <c r="L98" i="1"/>
  <c r="E98" i="1"/>
  <c r="H98" i="1" s="1"/>
  <c r="L97" i="1"/>
  <c r="E97" i="1"/>
  <c r="H97" i="1" s="1"/>
  <c r="L96" i="1"/>
  <c r="E96" i="1"/>
  <c r="H96" i="1" s="1"/>
  <c r="L95" i="1"/>
  <c r="E95" i="1"/>
  <c r="H95" i="1" s="1"/>
  <c r="L94" i="1"/>
  <c r="E94" i="1"/>
  <c r="H94" i="1" s="1"/>
  <c r="L93" i="1"/>
  <c r="E93" i="1"/>
  <c r="H93" i="1" s="1"/>
  <c r="L92" i="1"/>
  <c r="E92" i="1"/>
  <c r="H92" i="1" s="1"/>
  <c r="L91" i="1"/>
  <c r="E91" i="1"/>
  <c r="H91" i="1" s="1"/>
  <c r="L90" i="1"/>
  <c r="E90" i="1"/>
  <c r="H90" i="1" s="1"/>
  <c r="L89" i="1"/>
  <c r="E89" i="1"/>
  <c r="H89" i="1" s="1"/>
  <c r="L88" i="1"/>
  <c r="E88" i="1"/>
  <c r="H88" i="1" s="1"/>
  <c r="L87" i="1"/>
  <c r="E87" i="1"/>
  <c r="H87" i="1" s="1"/>
  <c r="L86" i="1"/>
  <c r="E86" i="1"/>
  <c r="H86" i="1" s="1"/>
  <c r="L85" i="1"/>
  <c r="E85" i="1"/>
  <c r="H85" i="1" s="1"/>
  <c r="L84" i="1"/>
  <c r="E84" i="1"/>
  <c r="H84" i="1" s="1"/>
  <c r="L83" i="1"/>
  <c r="E83" i="1"/>
  <c r="H83" i="1" s="1"/>
  <c r="L82" i="1"/>
  <c r="E82" i="1"/>
  <c r="H82" i="1" s="1"/>
  <c r="L81" i="1"/>
  <c r="E81" i="1"/>
  <c r="H81" i="1" s="1"/>
  <c r="L80" i="1"/>
  <c r="E80" i="1"/>
  <c r="H80" i="1" s="1"/>
  <c r="L79" i="1"/>
  <c r="E79" i="1"/>
  <c r="H79" i="1" s="1"/>
  <c r="L78" i="1"/>
  <c r="E78" i="1"/>
  <c r="H78" i="1" s="1"/>
  <c r="L77" i="1"/>
  <c r="E77" i="1"/>
  <c r="H77" i="1" s="1"/>
  <c r="L76" i="1"/>
  <c r="E76" i="1"/>
  <c r="H76" i="1" s="1"/>
  <c r="L75" i="1"/>
  <c r="E75" i="1"/>
  <c r="H75" i="1" s="1"/>
  <c r="L74" i="1"/>
  <c r="E74" i="1"/>
  <c r="H74" i="1" s="1"/>
  <c r="L73" i="1"/>
  <c r="E73" i="1"/>
  <c r="H73" i="1" s="1"/>
  <c r="L72" i="1"/>
  <c r="E72" i="1"/>
  <c r="H72" i="1" s="1"/>
  <c r="L71" i="1"/>
  <c r="E71" i="1"/>
  <c r="H71" i="1" s="1"/>
  <c r="L70" i="1"/>
  <c r="E70" i="1"/>
  <c r="H70" i="1" s="1"/>
  <c r="L69" i="1"/>
  <c r="E69" i="1"/>
  <c r="H69" i="1" s="1"/>
  <c r="S13" i="1"/>
  <c r="S18" i="1"/>
  <c r="S16" i="1"/>
  <c r="S15" i="1"/>
  <c r="S11" i="1"/>
  <c r="S8" i="1"/>
  <c r="S7" i="1"/>
  <c r="L5" i="1"/>
  <c r="E5" i="1"/>
  <c r="S5" i="1"/>
  <c r="G3" i="1"/>
  <c r="F3" i="1"/>
  <c r="C3" i="1"/>
  <c r="L6" i="1" l="1"/>
  <c r="H6" i="1"/>
  <c r="J6" i="1" s="1"/>
  <c r="I6" i="1"/>
  <c r="S20" i="1"/>
  <c r="S21" i="1"/>
  <c r="S9" i="1"/>
  <c r="S6" i="1"/>
  <c r="S10" i="1"/>
  <c r="S14" i="1"/>
  <c r="S12" i="1"/>
  <c r="S17" i="1"/>
  <c r="S19" i="1"/>
  <c r="D3" i="1"/>
  <c r="I5" i="1"/>
  <c r="H5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95" i="1"/>
  <c r="J95" i="1"/>
  <c r="I96" i="1"/>
  <c r="J96" i="1"/>
  <c r="I97" i="1"/>
  <c r="J97" i="1"/>
  <c r="I98" i="1"/>
  <c r="J98" i="1"/>
  <c r="I99" i="1"/>
  <c r="J99" i="1"/>
  <c r="I100" i="1"/>
  <c r="J100" i="1"/>
  <c r="I101" i="1"/>
  <c r="J101" i="1"/>
  <c r="I102" i="1"/>
  <c r="J102" i="1"/>
  <c r="I103" i="1"/>
  <c r="J103" i="1"/>
  <c r="I104" i="1"/>
  <c r="J104" i="1"/>
  <c r="I105" i="1"/>
  <c r="J105" i="1"/>
  <c r="I106" i="1"/>
  <c r="J106" i="1"/>
  <c r="I107" i="1"/>
  <c r="I108" i="1"/>
  <c r="J108" i="1"/>
  <c r="I109" i="1"/>
  <c r="J109" i="1"/>
  <c r="I110" i="1"/>
  <c r="J110" i="1"/>
  <c r="I111" i="1"/>
  <c r="J111" i="1"/>
  <c r="I112" i="1"/>
  <c r="J112" i="1"/>
  <c r="I113" i="1"/>
  <c r="I114" i="1"/>
  <c r="J114" i="1"/>
  <c r="I115" i="1"/>
  <c r="J115" i="1"/>
  <c r="I116" i="1"/>
  <c r="I117" i="1"/>
  <c r="J117" i="1"/>
  <c r="I118" i="1"/>
  <c r="J118" i="1"/>
  <c r="I119" i="1"/>
  <c r="I120" i="1"/>
  <c r="J120" i="1"/>
  <c r="I121" i="1"/>
  <c r="J121" i="1"/>
  <c r="I122" i="1"/>
  <c r="I123" i="1"/>
  <c r="J123" i="1"/>
  <c r="K6" i="1" l="1"/>
  <c r="J122" i="1"/>
  <c r="K122" i="1" s="1"/>
  <c r="J116" i="1"/>
  <c r="K116" i="1" s="1"/>
  <c r="J119" i="1"/>
  <c r="K119" i="1" s="1"/>
  <c r="J113" i="1"/>
  <c r="K113" i="1" s="1"/>
  <c r="J107" i="1"/>
  <c r="K107" i="1" s="1"/>
  <c r="K120" i="1"/>
  <c r="P120" i="1" s="1"/>
  <c r="K114" i="1"/>
  <c r="P114" i="1" s="1"/>
  <c r="K108" i="1"/>
  <c r="M108" i="1" s="1"/>
  <c r="N108" i="1" s="1"/>
  <c r="O108" i="1" s="1"/>
  <c r="K102" i="1"/>
  <c r="P102" i="1" s="1"/>
  <c r="K96" i="1"/>
  <c r="P96" i="1" s="1"/>
  <c r="K90" i="1"/>
  <c r="P90" i="1" s="1"/>
  <c r="K84" i="1"/>
  <c r="P84" i="1" s="1"/>
  <c r="K78" i="1"/>
  <c r="M78" i="1" s="1"/>
  <c r="N78" i="1" s="1"/>
  <c r="O78" i="1" s="1"/>
  <c r="K72" i="1"/>
  <c r="P72" i="1" s="1"/>
  <c r="K110" i="1"/>
  <c r="P110" i="1" s="1"/>
  <c r="K104" i="1"/>
  <c r="M104" i="1" s="1"/>
  <c r="N104" i="1" s="1"/>
  <c r="O104" i="1" s="1"/>
  <c r="K98" i="1"/>
  <c r="M98" i="1" s="1"/>
  <c r="N98" i="1" s="1"/>
  <c r="O98" i="1" s="1"/>
  <c r="K121" i="1"/>
  <c r="M121" i="1" s="1"/>
  <c r="N121" i="1" s="1"/>
  <c r="O121" i="1" s="1"/>
  <c r="K115" i="1"/>
  <c r="P115" i="1" s="1"/>
  <c r="K109" i="1"/>
  <c r="P109" i="1" s="1"/>
  <c r="K118" i="1"/>
  <c r="P118" i="1" s="1"/>
  <c r="K112" i="1"/>
  <c r="P112" i="1" s="1"/>
  <c r="K106" i="1"/>
  <c r="P106" i="1" s="1"/>
  <c r="K100" i="1"/>
  <c r="M100" i="1" s="1"/>
  <c r="N100" i="1" s="1"/>
  <c r="O100" i="1" s="1"/>
  <c r="K94" i="1"/>
  <c r="P94" i="1" s="1"/>
  <c r="K88" i="1"/>
  <c r="P88" i="1" s="1"/>
  <c r="K82" i="1"/>
  <c r="P82" i="1" s="1"/>
  <c r="K76" i="1"/>
  <c r="P76" i="1" s="1"/>
  <c r="K92" i="1"/>
  <c r="M92" i="1" s="1"/>
  <c r="N92" i="1" s="1"/>
  <c r="O92" i="1" s="1"/>
  <c r="K86" i="1"/>
  <c r="M86" i="1" s="1"/>
  <c r="N86" i="1" s="1"/>
  <c r="O86" i="1" s="1"/>
  <c r="K80" i="1"/>
  <c r="P80" i="1" s="1"/>
  <c r="K103" i="1"/>
  <c r="M103" i="1" s="1"/>
  <c r="N103" i="1" s="1"/>
  <c r="O103" i="1" s="1"/>
  <c r="K97" i="1"/>
  <c r="P97" i="1" s="1"/>
  <c r="K91" i="1"/>
  <c r="M91" i="1" s="1"/>
  <c r="N91" i="1" s="1"/>
  <c r="O91" i="1" s="1"/>
  <c r="K85" i="1"/>
  <c r="P85" i="1" s="1"/>
  <c r="K79" i="1"/>
  <c r="M79" i="1" s="1"/>
  <c r="N79" i="1" s="1"/>
  <c r="O79" i="1" s="1"/>
  <c r="K73" i="1"/>
  <c r="M73" i="1" s="1"/>
  <c r="N73" i="1" s="1"/>
  <c r="O73" i="1" s="1"/>
  <c r="K101" i="1"/>
  <c r="P101" i="1" s="1"/>
  <c r="K95" i="1"/>
  <c r="P95" i="1" s="1"/>
  <c r="K89" i="1"/>
  <c r="P89" i="1" s="1"/>
  <c r="K83" i="1"/>
  <c r="P83" i="1" s="1"/>
  <c r="K77" i="1"/>
  <c r="M77" i="1" s="1"/>
  <c r="N77" i="1" s="1"/>
  <c r="O77" i="1" s="1"/>
  <c r="K71" i="1"/>
  <c r="P71" i="1" s="1"/>
  <c r="K70" i="1"/>
  <c r="M70" i="1" s="1"/>
  <c r="N70" i="1" s="1"/>
  <c r="O70" i="1" s="1"/>
  <c r="K74" i="1"/>
  <c r="P74" i="1" s="1"/>
  <c r="K123" i="1"/>
  <c r="M123" i="1" s="1"/>
  <c r="N123" i="1" s="1"/>
  <c r="O123" i="1" s="1"/>
  <c r="K117" i="1"/>
  <c r="M117" i="1" s="1"/>
  <c r="N117" i="1" s="1"/>
  <c r="O117" i="1" s="1"/>
  <c r="K111" i="1"/>
  <c r="M111" i="1" s="1"/>
  <c r="N111" i="1" s="1"/>
  <c r="O111" i="1" s="1"/>
  <c r="K105" i="1"/>
  <c r="P105" i="1" s="1"/>
  <c r="K99" i="1"/>
  <c r="P99" i="1" s="1"/>
  <c r="K93" i="1"/>
  <c r="P93" i="1" s="1"/>
  <c r="K87" i="1"/>
  <c r="M87" i="1" s="1"/>
  <c r="N87" i="1" s="1"/>
  <c r="O87" i="1" s="1"/>
  <c r="K81" i="1"/>
  <c r="P81" i="1" s="1"/>
  <c r="K75" i="1"/>
  <c r="P75" i="1" s="1"/>
  <c r="K69" i="1"/>
  <c r="P69" i="1" s="1"/>
  <c r="P78" i="1"/>
  <c r="J5" i="1"/>
  <c r="M6" i="1" l="1"/>
  <c r="N6" i="1" s="1"/>
  <c r="O6" i="1" s="1"/>
  <c r="P6" i="1"/>
  <c r="P108" i="1"/>
  <c r="M115" i="1"/>
  <c r="N115" i="1" s="1"/>
  <c r="O115" i="1" s="1"/>
  <c r="M84" i="1"/>
  <c r="N84" i="1" s="1"/>
  <c r="O84" i="1" s="1"/>
  <c r="M119" i="1"/>
  <c r="N119" i="1" s="1"/>
  <c r="O119" i="1" s="1"/>
  <c r="P119" i="1"/>
  <c r="M96" i="1"/>
  <c r="N96" i="1" s="1"/>
  <c r="O96" i="1" s="1"/>
  <c r="M102" i="1"/>
  <c r="N102" i="1" s="1"/>
  <c r="O102" i="1" s="1"/>
  <c r="P103" i="1"/>
  <c r="M107" i="1"/>
  <c r="N107" i="1" s="1"/>
  <c r="O107" i="1" s="1"/>
  <c r="P107" i="1"/>
  <c r="P113" i="1"/>
  <c r="M113" i="1"/>
  <c r="N113" i="1" s="1"/>
  <c r="O113" i="1" s="1"/>
  <c r="M116" i="1"/>
  <c r="N116" i="1" s="1"/>
  <c r="O116" i="1" s="1"/>
  <c r="P116" i="1"/>
  <c r="P122" i="1"/>
  <c r="M122" i="1"/>
  <c r="N122" i="1" s="1"/>
  <c r="O122" i="1" s="1"/>
  <c r="M80" i="1"/>
  <c r="N80" i="1" s="1"/>
  <c r="O80" i="1" s="1"/>
  <c r="M120" i="1"/>
  <c r="N120" i="1" s="1"/>
  <c r="O120" i="1" s="1"/>
  <c r="P86" i="1"/>
  <c r="P121" i="1"/>
  <c r="M114" i="1"/>
  <c r="N114" i="1" s="1"/>
  <c r="O114" i="1" s="1"/>
  <c r="P91" i="1"/>
  <c r="M110" i="1"/>
  <c r="N110" i="1" s="1"/>
  <c r="O110" i="1" s="1"/>
  <c r="P98" i="1"/>
  <c r="P111" i="1"/>
  <c r="M83" i="1"/>
  <c r="N83" i="1" s="1"/>
  <c r="O83" i="1" s="1"/>
  <c r="M82" i="1"/>
  <c r="N82" i="1" s="1"/>
  <c r="O82" i="1" s="1"/>
  <c r="M90" i="1"/>
  <c r="N90" i="1" s="1"/>
  <c r="O90" i="1" s="1"/>
  <c r="P104" i="1"/>
  <c r="M72" i="1"/>
  <c r="N72" i="1" s="1"/>
  <c r="O72" i="1" s="1"/>
  <c r="M76" i="1"/>
  <c r="N76" i="1" s="1"/>
  <c r="O76" i="1" s="1"/>
  <c r="P100" i="1"/>
  <c r="P73" i="1"/>
  <c r="M101" i="1"/>
  <c r="N101" i="1" s="1"/>
  <c r="O101" i="1" s="1"/>
  <c r="M109" i="1"/>
  <c r="N109" i="1" s="1"/>
  <c r="O109" i="1" s="1"/>
  <c r="M74" i="1"/>
  <c r="N74" i="1" s="1"/>
  <c r="O74" i="1" s="1"/>
  <c r="M118" i="1"/>
  <c r="N118" i="1" s="1"/>
  <c r="O118" i="1" s="1"/>
  <c r="M94" i="1"/>
  <c r="N94" i="1" s="1"/>
  <c r="O94" i="1" s="1"/>
  <c r="M85" i="1"/>
  <c r="N85" i="1" s="1"/>
  <c r="O85" i="1" s="1"/>
  <c r="P79" i="1"/>
  <c r="P70" i="1"/>
  <c r="P87" i="1"/>
  <c r="M97" i="1"/>
  <c r="N97" i="1" s="1"/>
  <c r="O97" i="1" s="1"/>
  <c r="M112" i="1"/>
  <c r="N112" i="1" s="1"/>
  <c r="O112" i="1" s="1"/>
  <c r="M89" i="1"/>
  <c r="N89" i="1" s="1"/>
  <c r="O89" i="1" s="1"/>
  <c r="M106" i="1"/>
  <c r="N106" i="1" s="1"/>
  <c r="O106" i="1" s="1"/>
  <c r="M95" i="1"/>
  <c r="N95" i="1" s="1"/>
  <c r="O95" i="1" s="1"/>
  <c r="P92" i="1"/>
  <c r="M81" i="1"/>
  <c r="N81" i="1" s="1"/>
  <c r="O81" i="1" s="1"/>
  <c r="M88" i="1"/>
  <c r="N88" i="1" s="1"/>
  <c r="O88" i="1" s="1"/>
  <c r="M69" i="1"/>
  <c r="N69" i="1" s="1"/>
  <c r="O69" i="1" s="1"/>
  <c r="P77" i="1"/>
  <c r="M71" i="1"/>
  <c r="N71" i="1" s="1"/>
  <c r="O71" i="1" s="1"/>
  <c r="M75" i="1"/>
  <c r="N75" i="1" s="1"/>
  <c r="O75" i="1" s="1"/>
  <c r="P117" i="1"/>
  <c r="P123" i="1"/>
  <c r="M93" i="1"/>
  <c r="N93" i="1" s="1"/>
  <c r="O93" i="1" s="1"/>
  <c r="M105" i="1"/>
  <c r="N105" i="1" s="1"/>
  <c r="O105" i="1" s="1"/>
  <c r="M99" i="1"/>
  <c r="N99" i="1" s="1"/>
  <c r="O99" i="1" s="1"/>
  <c r="K5" i="1"/>
  <c r="P5" i="1" l="1"/>
  <c r="M5" i="1"/>
  <c r="N5" i="1" s="1"/>
  <c r="O5" i="1" l="1"/>
  <c r="K1" i="4" l="1"/>
  <c r="J1" i="2"/>
  <c r="M1" i="1"/>
  <c r="A7" i="1" l="1"/>
  <c r="E7" i="1" l="1"/>
  <c r="L7" i="1"/>
  <c r="A8" i="1"/>
  <c r="A9" i="1" l="1"/>
  <c r="L8" i="1"/>
  <c r="E8" i="1"/>
  <c r="I7" i="1"/>
  <c r="H7" i="1"/>
  <c r="J7" i="1" s="1"/>
  <c r="K7" i="1" l="1"/>
  <c r="P7" i="1" s="1"/>
  <c r="I8" i="1"/>
  <c r="H8" i="1"/>
  <c r="J8" i="1" s="1"/>
  <c r="L9" i="1"/>
  <c r="E9" i="1"/>
  <c r="A10" i="1"/>
  <c r="K8" i="1" l="1"/>
  <c r="P8" i="1" s="1"/>
  <c r="M7" i="1"/>
  <c r="N7" i="1" s="1"/>
  <c r="O7" i="1" s="1"/>
  <c r="I9" i="1"/>
  <c r="H9" i="1"/>
  <c r="J9" i="1" s="1"/>
  <c r="E10" i="1"/>
  <c r="L10" i="1"/>
  <c r="M8" i="1" l="1"/>
  <c r="N8" i="1" s="1"/>
  <c r="O8" i="1" s="1"/>
  <c r="K9" i="1"/>
  <c r="M9" i="1" s="1"/>
  <c r="N9" i="1" s="1"/>
  <c r="O9" i="1" s="1"/>
  <c r="I10" i="1"/>
  <c r="H10" i="1"/>
  <c r="J10" i="1" s="1"/>
  <c r="K10" i="1" l="1"/>
  <c r="M10" i="1" s="1"/>
  <c r="N10" i="1" s="1"/>
  <c r="O10" i="1" s="1"/>
  <c r="P9" i="1"/>
  <c r="P10" i="1" l="1"/>
  <c r="A11" i="1"/>
  <c r="A12" i="1" l="1"/>
  <c r="L11" i="1"/>
  <c r="E11" i="1"/>
  <c r="H11" i="1" l="1"/>
  <c r="J11" i="1" s="1"/>
  <c r="I11" i="1"/>
  <c r="L12" i="1"/>
  <c r="E12" i="1"/>
  <c r="A13" i="1"/>
  <c r="H12" i="1" l="1"/>
  <c r="I12" i="1"/>
  <c r="K11" i="1"/>
  <c r="E13" i="1"/>
  <c r="L13" i="1"/>
  <c r="A14" i="1"/>
  <c r="J12" i="1" l="1"/>
  <c r="K12" i="1" s="1"/>
  <c r="L14" i="1"/>
  <c r="A15" i="1"/>
  <c r="E14" i="1"/>
  <c r="P11" i="1"/>
  <c r="M11" i="1"/>
  <c r="N11" i="1" s="1"/>
  <c r="O11" i="1" s="1"/>
  <c r="H13" i="1"/>
  <c r="J13" i="1" s="1"/>
  <c r="I13" i="1"/>
  <c r="K13" i="1" l="1"/>
  <c r="M12" i="1"/>
  <c r="N12" i="1" s="1"/>
  <c r="O12" i="1" s="1"/>
  <c r="P12" i="1"/>
  <c r="H14" i="1"/>
  <c r="J14" i="1" s="1"/>
  <c r="I14" i="1"/>
  <c r="L15" i="1"/>
  <c r="A16" i="1"/>
  <c r="E15" i="1"/>
  <c r="E16" i="1" l="1"/>
  <c r="L16" i="1"/>
  <c r="K14" i="1"/>
  <c r="I15" i="1"/>
  <c r="H15" i="1"/>
  <c r="J15" i="1" s="1"/>
  <c r="M13" i="1"/>
  <c r="N13" i="1" s="1"/>
  <c r="P13" i="1"/>
  <c r="K15" i="1" l="1"/>
  <c r="M15" i="1" s="1"/>
  <c r="N15" i="1" s="1"/>
  <c r="O15" i="1" s="1"/>
  <c r="O13" i="1"/>
  <c r="M14" i="1"/>
  <c r="N14" i="1" s="1"/>
  <c r="O14" i="1" s="1"/>
  <c r="P14" i="1"/>
  <c r="A17" i="1"/>
  <c r="H16" i="1"/>
  <c r="J16" i="1" s="1"/>
  <c r="I16" i="1"/>
  <c r="P15" i="1" l="1"/>
  <c r="K16" i="1"/>
  <c r="M16" i="1" s="1"/>
  <c r="N16" i="1" s="1"/>
  <c r="O16" i="1" s="1"/>
  <c r="A18" i="1"/>
  <c r="E17" i="1"/>
  <c r="L17" i="1"/>
  <c r="P16" i="1" l="1"/>
  <c r="H17" i="1"/>
  <c r="J17" i="1" s="1"/>
  <c r="I17" i="1"/>
  <c r="L18" i="1"/>
  <c r="E18" i="1"/>
  <c r="A19" i="1"/>
  <c r="K17" i="1" l="1"/>
  <c r="P17" i="1" s="1"/>
  <c r="E19" i="1"/>
  <c r="L19" i="1"/>
  <c r="H18" i="1"/>
  <c r="J18" i="1" s="1"/>
  <c r="I18" i="1"/>
  <c r="M17" i="1" l="1"/>
  <c r="N17" i="1" s="1"/>
  <c r="O17" i="1" s="1"/>
  <c r="K18" i="1"/>
  <c r="P18" i="1" s="1"/>
  <c r="H19" i="1"/>
  <c r="J19" i="1" s="1"/>
  <c r="I19" i="1"/>
  <c r="M18" i="1" l="1"/>
  <c r="N18" i="1" s="1"/>
  <c r="O18" i="1" s="1"/>
  <c r="K19" i="1"/>
  <c r="P19" i="1" l="1"/>
  <c r="M19" i="1"/>
  <c r="N19" i="1" s="1"/>
  <c r="O19" i="1" l="1"/>
  <c r="A20" i="1" l="1"/>
  <c r="L20" i="1" l="1"/>
  <c r="E20" i="1"/>
  <c r="H20" i="1" l="1"/>
  <c r="J20" i="1" s="1"/>
  <c r="I20" i="1"/>
  <c r="A21" i="1"/>
  <c r="K20" i="1" l="1"/>
  <c r="M20" i="1" s="1"/>
  <c r="N20" i="1" s="1"/>
  <c r="O20" i="1" s="1"/>
  <c r="L21" i="1"/>
  <c r="A22" i="1"/>
  <c r="E21" i="1"/>
  <c r="P20" i="1" l="1"/>
  <c r="H21" i="1"/>
  <c r="J21" i="1" s="1"/>
  <c r="I21" i="1"/>
  <c r="A23" i="1"/>
  <c r="L22" i="1"/>
  <c r="E22" i="1"/>
  <c r="H22" i="1" l="1"/>
  <c r="J22" i="1" s="1"/>
  <c r="I22" i="1"/>
  <c r="E23" i="1"/>
  <c r="L23" i="1"/>
  <c r="A24" i="1"/>
  <c r="K21" i="1"/>
  <c r="P21" i="1" l="1"/>
  <c r="M21" i="1"/>
  <c r="N21" i="1" s="1"/>
  <c r="O21" i="1" s="1"/>
  <c r="A25" i="1"/>
  <c r="E24" i="1"/>
  <c r="L24" i="1"/>
  <c r="H23" i="1"/>
  <c r="J23" i="1" s="1"/>
  <c r="I23" i="1"/>
  <c r="K22" i="1"/>
  <c r="M22" i="1" l="1"/>
  <c r="N22" i="1" s="1"/>
  <c r="O22" i="1" s="1"/>
  <c r="P22" i="1"/>
  <c r="H24" i="1"/>
  <c r="J24" i="1" s="1"/>
  <c r="I24" i="1"/>
  <c r="K23" i="1"/>
  <c r="E25" i="1"/>
  <c r="L25" i="1"/>
  <c r="H25" i="1" l="1"/>
  <c r="J25" i="1" s="1"/>
  <c r="I25" i="1"/>
  <c r="P23" i="1"/>
  <c r="M23" i="1"/>
  <c r="N23" i="1" s="1"/>
  <c r="O23" i="1" s="1"/>
  <c r="K24" i="1"/>
  <c r="M24" i="1" l="1"/>
  <c r="N24" i="1" s="1"/>
  <c r="O24" i="1" s="1"/>
  <c r="P24" i="1"/>
  <c r="K25" i="1"/>
  <c r="P25" i="1" l="1"/>
  <c r="M25" i="1"/>
  <c r="N25" i="1" s="1"/>
  <c r="O25" i="1" s="1"/>
  <c r="A26" i="1"/>
  <c r="L26" i="1" l="1"/>
  <c r="A27" i="1"/>
  <c r="E26" i="1"/>
  <c r="L27" i="1" l="1"/>
  <c r="E27" i="1"/>
  <c r="H26" i="1"/>
  <c r="J26" i="1" s="1"/>
  <c r="I26" i="1"/>
  <c r="A28" i="1" l="1"/>
  <c r="K26" i="1"/>
  <c r="H27" i="1"/>
  <c r="J27" i="1" s="1"/>
  <c r="I27" i="1"/>
  <c r="K27" i="1" l="1"/>
  <c r="P27" i="1" s="1"/>
  <c r="M26" i="1"/>
  <c r="N26" i="1" s="1"/>
  <c r="O26" i="1" s="1"/>
  <c r="P26" i="1"/>
  <c r="L28" i="1"/>
  <c r="E28" i="1"/>
  <c r="M27" i="1" l="1"/>
  <c r="N27" i="1" s="1"/>
  <c r="O27" i="1" s="1"/>
  <c r="H28" i="1"/>
  <c r="J28" i="1" s="1"/>
  <c r="I28" i="1"/>
  <c r="K28" i="1" l="1"/>
  <c r="P28" i="1" s="1"/>
  <c r="A29" i="1"/>
  <c r="A30" i="1" s="1"/>
  <c r="E29" i="1" l="1"/>
  <c r="H29" i="1" s="1"/>
  <c r="J29" i="1" s="1"/>
  <c r="L29" i="1"/>
  <c r="M28" i="1"/>
  <c r="N28" i="1" s="1"/>
  <c r="O28" i="1" s="1"/>
  <c r="E30" i="1"/>
  <c r="L30" i="1"/>
  <c r="A31" i="1"/>
  <c r="I29" i="1" l="1"/>
  <c r="K29" i="1" s="1"/>
  <c r="E31" i="1"/>
  <c r="A32" i="1"/>
  <c r="L31" i="1"/>
  <c r="H30" i="1"/>
  <c r="I30" i="1"/>
  <c r="L32" i="1" l="1"/>
  <c r="A33" i="1"/>
  <c r="E32" i="1"/>
  <c r="I31" i="1"/>
  <c r="H31" i="1"/>
  <c r="J31" i="1" s="1"/>
  <c r="K31" i="1" s="1"/>
  <c r="J30" i="1"/>
  <c r="P29" i="1"/>
  <c r="M29" i="1"/>
  <c r="N29" i="1" s="1"/>
  <c r="O29" i="1" l="1"/>
  <c r="K30" i="1"/>
  <c r="M31" i="1"/>
  <c r="N31" i="1" s="1"/>
  <c r="O31" i="1" s="1"/>
  <c r="P31" i="1"/>
  <c r="A34" i="1"/>
  <c r="L33" i="1"/>
  <c r="E33" i="1"/>
  <c r="H32" i="1"/>
  <c r="I32" i="1"/>
  <c r="H33" i="1" l="1"/>
  <c r="J33" i="1" s="1"/>
  <c r="I33" i="1"/>
  <c r="P30" i="1"/>
  <c r="M30" i="1"/>
  <c r="N30" i="1" s="1"/>
  <c r="E34" i="1"/>
  <c r="L34" i="1"/>
  <c r="A35" i="1"/>
  <c r="J32" i="1"/>
  <c r="H34" i="1" l="1"/>
  <c r="I34" i="1"/>
  <c r="O30" i="1"/>
  <c r="K32" i="1"/>
  <c r="K33" i="1"/>
  <c r="E35" i="1"/>
  <c r="A36" i="1"/>
  <c r="L35" i="1"/>
  <c r="J34" i="1" l="1"/>
  <c r="I35" i="1"/>
  <c r="H35" i="1"/>
  <c r="J35" i="1" s="1"/>
  <c r="M32" i="1"/>
  <c r="N32" i="1" s="1"/>
  <c r="P32" i="1"/>
  <c r="P33" i="1"/>
  <c r="M33" i="1"/>
  <c r="N33" i="1" s="1"/>
  <c r="O33" i="1" s="1"/>
  <c r="L36" i="1"/>
  <c r="A37" i="1"/>
  <c r="E36" i="1"/>
  <c r="K35" i="1" l="1"/>
  <c r="P35" i="1" s="1"/>
  <c r="O32" i="1"/>
  <c r="K34" i="1"/>
  <c r="I36" i="1"/>
  <c r="H36" i="1"/>
  <c r="A38" i="1"/>
  <c r="L37" i="1"/>
  <c r="E37" i="1"/>
  <c r="M35" i="1" l="1"/>
  <c r="N35" i="1" s="1"/>
  <c r="O35" i="1" s="1"/>
  <c r="M34" i="1"/>
  <c r="N34" i="1" s="1"/>
  <c r="P34" i="1"/>
  <c r="E38" i="1"/>
  <c r="L38" i="1"/>
  <c r="A39" i="1"/>
  <c r="H37" i="1"/>
  <c r="J37" i="1" s="1"/>
  <c r="I37" i="1"/>
  <c r="J36" i="1"/>
  <c r="K37" i="1" l="1"/>
  <c r="P37" i="1" s="1"/>
  <c r="L39" i="1"/>
  <c r="A40" i="1"/>
  <c r="E39" i="1"/>
  <c r="K36" i="1"/>
  <c r="H38" i="1"/>
  <c r="J38" i="1" s="1"/>
  <c r="I38" i="1"/>
  <c r="O34" i="1"/>
  <c r="M37" i="1" l="1"/>
  <c r="N37" i="1" s="1"/>
  <c r="O37" i="1" s="1"/>
  <c r="M36" i="1"/>
  <c r="N36" i="1" s="1"/>
  <c r="P36" i="1"/>
  <c r="K38" i="1"/>
  <c r="I39" i="1"/>
  <c r="H39" i="1"/>
  <c r="J39" i="1" s="1"/>
  <c r="K39" i="1" s="1"/>
  <c r="A41" i="1"/>
  <c r="L40" i="1"/>
  <c r="E40" i="1"/>
  <c r="A42" i="1" l="1"/>
  <c r="E41" i="1"/>
  <c r="L41" i="1"/>
  <c r="P39" i="1"/>
  <c r="M39" i="1"/>
  <c r="N39" i="1" s="1"/>
  <c r="O39" i="1" s="1"/>
  <c r="P38" i="1"/>
  <c r="M38" i="1"/>
  <c r="N38" i="1" s="1"/>
  <c r="O38" i="1" s="1"/>
  <c r="I40" i="1"/>
  <c r="H40" i="1"/>
  <c r="J40" i="1" s="1"/>
  <c r="O36" i="1"/>
  <c r="K40" i="1" l="1"/>
  <c r="M40" i="1" s="1"/>
  <c r="N40" i="1" s="1"/>
  <c r="O40" i="1" s="1"/>
  <c r="H41" i="1"/>
  <c r="J41" i="1" s="1"/>
  <c r="I41" i="1"/>
  <c r="E42" i="1"/>
  <c r="L42" i="1"/>
  <c r="A43" i="1"/>
  <c r="P40" i="1" l="1"/>
  <c r="K41" i="1"/>
  <c r="P41" i="1" s="1"/>
  <c r="L43" i="1"/>
  <c r="E43" i="1"/>
  <c r="A44" i="1"/>
  <c r="H42" i="1"/>
  <c r="J42" i="1" s="1"/>
  <c r="I42" i="1"/>
  <c r="M41" i="1"/>
  <c r="N41" i="1" s="1"/>
  <c r="O41" i="1" s="1"/>
  <c r="K42" i="1" l="1"/>
  <c r="M42" i="1" s="1"/>
  <c r="N42" i="1" s="1"/>
  <c r="O42" i="1" s="1"/>
  <c r="A45" i="1"/>
  <c r="E44" i="1"/>
  <c r="L44" i="1"/>
  <c r="I43" i="1"/>
  <c r="H43" i="1"/>
  <c r="J43" i="1" s="1"/>
  <c r="K43" i="1" l="1"/>
  <c r="M43" i="1" s="1"/>
  <c r="N43" i="1" s="1"/>
  <c r="O43" i="1" s="1"/>
  <c r="P42" i="1"/>
  <c r="I44" i="1"/>
  <c r="H44" i="1"/>
  <c r="J44" i="1" s="1"/>
  <c r="A46" i="1"/>
  <c r="E45" i="1"/>
  <c r="L45" i="1"/>
  <c r="P43" i="1" l="1"/>
  <c r="E46" i="1"/>
  <c r="A47" i="1"/>
  <c r="L46" i="1"/>
  <c r="H45" i="1"/>
  <c r="J45" i="1" s="1"/>
  <c r="I45" i="1"/>
  <c r="K44" i="1"/>
  <c r="K45" i="1" l="1"/>
  <c r="M45" i="1" s="1"/>
  <c r="N45" i="1" s="1"/>
  <c r="O45" i="1" s="1"/>
  <c r="M44" i="1"/>
  <c r="N44" i="1" s="1"/>
  <c r="O44" i="1" s="1"/>
  <c r="P44" i="1"/>
  <c r="L47" i="1"/>
  <c r="A48" i="1"/>
  <c r="E47" i="1"/>
  <c r="H46" i="1"/>
  <c r="J46" i="1" s="1"/>
  <c r="I46" i="1"/>
  <c r="P45" i="1" l="1"/>
  <c r="K46" i="1"/>
  <c r="I47" i="1"/>
  <c r="H47" i="1"/>
  <c r="J47" i="1" s="1"/>
  <c r="A49" i="1"/>
  <c r="L48" i="1"/>
  <c r="E48" i="1"/>
  <c r="K47" i="1" l="1"/>
  <c r="M47" i="1" s="1"/>
  <c r="N47" i="1" s="1"/>
  <c r="O47" i="1" s="1"/>
  <c r="I48" i="1"/>
  <c r="H48" i="1"/>
  <c r="J48" i="1" s="1"/>
  <c r="A50" i="1"/>
  <c r="L49" i="1"/>
  <c r="E49" i="1"/>
  <c r="P46" i="1"/>
  <c r="M46" i="1"/>
  <c r="N46" i="1" s="1"/>
  <c r="O46" i="1" s="1"/>
  <c r="P47" i="1" l="1"/>
  <c r="H49" i="1"/>
  <c r="J49" i="1" s="1"/>
  <c r="I49" i="1"/>
  <c r="E50" i="1"/>
  <c r="L50" i="1"/>
  <c r="A51" i="1"/>
  <c r="K48" i="1"/>
  <c r="K49" i="1" l="1"/>
  <c r="L51" i="1"/>
  <c r="E51" i="1"/>
  <c r="A52" i="1"/>
  <c r="M48" i="1"/>
  <c r="N48" i="1" s="1"/>
  <c r="O48" i="1" s="1"/>
  <c r="P48" i="1"/>
  <c r="H50" i="1"/>
  <c r="J50" i="1" s="1"/>
  <c r="I50" i="1"/>
  <c r="P49" i="1"/>
  <c r="M49" i="1"/>
  <c r="N49" i="1" s="1"/>
  <c r="O49" i="1" s="1"/>
  <c r="K50" i="1" l="1"/>
  <c r="P50" i="1" s="1"/>
  <c r="I51" i="1"/>
  <c r="H51" i="1"/>
  <c r="J51" i="1" s="1"/>
  <c r="A53" i="1"/>
  <c r="L52" i="1"/>
  <c r="E52" i="1"/>
  <c r="K51" i="1" l="1"/>
  <c r="M51" i="1" s="1"/>
  <c r="N51" i="1" s="1"/>
  <c r="O51" i="1" s="1"/>
  <c r="M50" i="1"/>
  <c r="N50" i="1" s="1"/>
  <c r="O50" i="1" s="1"/>
  <c r="H52" i="1"/>
  <c r="J52" i="1" s="1"/>
  <c r="I52" i="1"/>
  <c r="A54" i="1"/>
  <c r="L53" i="1"/>
  <c r="E53" i="1"/>
  <c r="P51" i="1" l="1"/>
  <c r="H53" i="1"/>
  <c r="J53" i="1" s="1"/>
  <c r="I53" i="1"/>
  <c r="E54" i="1"/>
  <c r="L54" i="1"/>
  <c r="A55" i="1"/>
  <c r="K52" i="1"/>
  <c r="K53" i="1" l="1"/>
  <c r="M53" i="1" s="1"/>
  <c r="N53" i="1" s="1"/>
  <c r="O53" i="1" s="1"/>
  <c r="M52" i="1"/>
  <c r="N52" i="1" s="1"/>
  <c r="O52" i="1" s="1"/>
  <c r="P52" i="1"/>
  <c r="L55" i="1"/>
  <c r="A56" i="1"/>
  <c r="E55" i="1"/>
  <c r="H54" i="1"/>
  <c r="J54" i="1" s="1"/>
  <c r="I54" i="1"/>
  <c r="P53" i="1" l="1"/>
  <c r="K54" i="1"/>
  <c r="P54" i="1" s="1"/>
  <c r="I55" i="1"/>
  <c r="H55" i="1"/>
  <c r="J55" i="1" s="1"/>
  <c r="A57" i="1"/>
  <c r="E56" i="1"/>
  <c r="L56" i="1"/>
  <c r="M54" i="1" l="1"/>
  <c r="N54" i="1" s="1"/>
  <c r="O54" i="1" s="1"/>
  <c r="K55" i="1"/>
  <c r="M55" i="1" s="1"/>
  <c r="N55" i="1" s="1"/>
  <c r="O55" i="1" s="1"/>
  <c r="I56" i="1"/>
  <c r="H56" i="1"/>
  <c r="J56" i="1" s="1"/>
  <c r="A58" i="1"/>
  <c r="L57" i="1"/>
  <c r="E57" i="1"/>
  <c r="K56" i="1" l="1"/>
  <c r="P55" i="1"/>
  <c r="E58" i="1"/>
  <c r="L58" i="1"/>
  <c r="A59" i="1"/>
  <c r="H57" i="1"/>
  <c r="J57" i="1" s="1"/>
  <c r="I57" i="1"/>
  <c r="M56" i="1"/>
  <c r="N56" i="1" s="1"/>
  <c r="O56" i="1" s="1"/>
  <c r="P56" i="1"/>
  <c r="K57" i="1" l="1"/>
  <c r="A60" i="1"/>
  <c r="E59" i="1"/>
  <c r="L59" i="1"/>
  <c r="H58" i="1"/>
  <c r="J58" i="1" s="1"/>
  <c r="I58" i="1"/>
  <c r="K58" i="1" l="1"/>
  <c r="I59" i="1"/>
  <c r="H59" i="1"/>
  <c r="J59" i="1" s="1"/>
  <c r="K59" i="1" s="1"/>
  <c r="A61" i="1"/>
  <c r="L60" i="1"/>
  <c r="E60" i="1"/>
  <c r="P57" i="1"/>
  <c r="M57" i="1"/>
  <c r="N57" i="1" s="1"/>
  <c r="O57" i="1" s="1"/>
  <c r="A62" i="1" l="1"/>
  <c r="L61" i="1"/>
  <c r="E61" i="1"/>
  <c r="I60" i="1"/>
  <c r="H60" i="1"/>
  <c r="J60" i="1" s="1"/>
  <c r="K60" i="1" s="1"/>
  <c r="M59" i="1"/>
  <c r="N59" i="1" s="1"/>
  <c r="O59" i="1" s="1"/>
  <c r="P59" i="1"/>
  <c r="M58" i="1"/>
  <c r="N58" i="1" s="1"/>
  <c r="O58" i="1" s="1"/>
  <c r="P58" i="1"/>
  <c r="M60" i="1" l="1"/>
  <c r="N60" i="1" s="1"/>
  <c r="O60" i="1" s="1"/>
  <c r="P60" i="1"/>
  <c r="H61" i="1"/>
  <c r="J61" i="1" s="1"/>
  <c r="I61" i="1"/>
  <c r="E62" i="1"/>
  <c r="L62" i="1"/>
  <c r="A63" i="1"/>
  <c r="L63" i="1" l="1"/>
  <c r="A64" i="1"/>
  <c r="E63" i="1"/>
  <c r="H62" i="1"/>
  <c r="J62" i="1" s="1"/>
  <c r="I62" i="1"/>
  <c r="K61" i="1"/>
  <c r="K62" i="1" l="1"/>
  <c r="P62" i="1" s="1"/>
  <c r="P61" i="1"/>
  <c r="M61" i="1"/>
  <c r="N61" i="1" s="1"/>
  <c r="O61" i="1" s="1"/>
  <c r="I63" i="1"/>
  <c r="H63" i="1"/>
  <c r="J63" i="1" s="1"/>
  <c r="A65" i="1"/>
  <c r="L64" i="1"/>
  <c r="E64" i="1"/>
  <c r="M62" i="1"/>
  <c r="N62" i="1" s="1"/>
  <c r="O62" i="1" s="1"/>
  <c r="K63" i="1" l="1"/>
  <c r="M63" i="1" s="1"/>
  <c r="N63" i="1" s="1"/>
  <c r="O63" i="1" s="1"/>
  <c r="A66" i="1"/>
  <c r="L65" i="1"/>
  <c r="E65" i="1"/>
  <c r="H64" i="1"/>
  <c r="J64" i="1" s="1"/>
  <c r="I64" i="1"/>
  <c r="P63" i="1" l="1"/>
  <c r="H65" i="1"/>
  <c r="J65" i="1" s="1"/>
  <c r="I65" i="1"/>
  <c r="K64" i="1"/>
  <c r="E66" i="1"/>
  <c r="L66" i="1"/>
  <c r="A67" i="1"/>
  <c r="K65" i="1" l="1"/>
  <c r="H66" i="1"/>
  <c r="J66" i="1" s="1"/>
  <c r="I66" i="1"/>
  <c r="M64" i="1"/>
  <c r="N64" i="1" s="1"/>
  <c r="O64" i="1" s="1"/>
  <c r="P64" i="1"/>
  <c r="A68" i="1"/>
  <c r="L67" i="1"/>
  <c r="E67" i="1"/>
  <c r="P65" i="1"/>
  <c r="M65" i="1"/>
  <c r="N65" i="1" s="1"/>
  <c r="O65" i="1" s="1"/>
  <c r="K66" i="1" l="1"/>
  <c r="M66" i="1" s="1"/>
  <c r="N66" i="1" s="1"/>
  <c r="O66" i="1" s="1"/>
  <c r="I67" i="1"/>
  <c r="H67" i="1"/>
  <c r="J67" i="1" s="1"/>
  <c r="E68" i="1"/>
  <c r="L68" i="1"/>
  <c r="L3" i="1" s="1"/>
  <c r="P66" i="1" l="1"/>
  <c r="K67" i="1"/>
  <c r="M67" i="1" s="1"/>
  <c r="N67" i="1" s="1"/>
  <c r="O67" i="1" s="1"/>
  <c r="I68" i="1"/>
  <c r="I3" i="1" s="1"/>
  <c r="H68" i="1"/>
  <c r="E3" i="1"/>
  <c r="P67" i="1" l="1"/>
  <c r="J68" i="1"/>
  <c r="H3" i="1"/>
  <c r="K68" i="1" l="1"/>
  <c r="J3" i="1"/>
  <c r="K3" i="1" s="1"/>
  <c r="P3" i="1" s="1"/>
  <c r="M3" i="1" l="1"/>
  <c r="M68" i="1"/>
  <c r="N68" i="1" s="1"/>
  <c r="P68" i="1"/>
  <c r="B4" i="4"/>
  <c r="B8" i="4"/>
  <c r="B6" i="4" l="1"/>
  <c r="E5" i="4" s="1"/>
  <c r="B5" i="4"/>
  <c r="E4" i="4" s="1"/>
  <c r="B7" i="4"/>
  <c r="E6" i="4" s="1"/>
  <c r="O68" i="1"/>
  <c r="N3" i="1"/>
  <c r="O3" i="1" l="1"/>
  <c r="B9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Copilot</author>
    <author>João Antonio Carvalho Monteiro de Oliveira</author>
    <author>M365 Copilot</author>
  </authors>
  <commentList>
    <comment ref="A3" authorId="0" shapeId="0" xr:uid="{00000000-0006-0000-0000-000001000000}">
      <text>
        <r>
          <rPr>
            <sz val="10"/>
            <rFont val="Arial"/>
            <family val="2"/>
          </rPr>
          <t>Consolidado dinâmico. Totais e médias usam SUBTOTAL para respeitar os filtros aplicados à tabela. A disponibilidade agregada é calculada por Numerador total / Denominador total.</t>
        </r>
      </text>
    </comment>
    <comment ref="E4" authorId="1" shapeId="0" xr:uid="{00000000-0006-0000-0000-000002000000}">
      <text>
        <r>
          <rPr>
            <sz val="10"/>
            <color indexed="81"/>
            <rFont val="Arial Nova"/>
            <family val="2"/>
          </rPr>
          <t>Horas Totais no Período</t>
        </r>
        <r>
          <rPr>
            <sz val="10"/>
            <rFont val="Arial"/>
            <family val="2"/>
          </rPr>
          <t xml:space="preserve">
</t>
        </r>
      </text>
    </comment>
    <comment ref="F4" authorId="1" shapeId="0" xr:uid="{D6489576-7F97-4470-90B9-6B69B5218250}">
      <text>
        <r>
          <rPr>
            <sz val="10"/>
            <color indexed="81"/>
            <rFont val="Arial Nova"/>
            <family val="2"/>
          </rPr>
          <t>Horas de Manutenção Preventiva</t>
        </r>
        <r>
          <rPr>
            <sz val="9"/>
            <color indexed="81"/>
            <rFont val="Segoe UI"/>
            <charset val="1"/>
          </rPr>
          <t xml:space="preserve">
</t>
        </r>
      </text>
    </comment>
    <comment ref="H4" authorId="1" shapeId="0" xr:uid="{3DD8749E-868D-491D-9621-382858E40FFB}">
      <text>
        <r>
          <rPr>
            <sz val="10"/>
            <color indexed="81"/>
            <rFont val="Arial Nova"/>
            <family val="2"/>
          </rPr>
          <t>Horas Totais de Funcionamento no Período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4" authorId="2" shapeId="0" xr:uid="{00000000-0006-0000-0000-000003000000}">
      <text>
        <r>
          <rPr>
            <sz val="10"/>
            <rFont val="Arial"/>
            <family val="2"/>
          </rPr>
          <t>Cálculo: (HFT - HMP - HIJ) / (HT - HMP - HIJ). O formato percentual já representa a multiplicação por 100.</t>
        </r>
      </text>
    </comment>
    <comment ref="N4" authorId="2" shapeId="0" xr:uid="{00000000-0006-0000-0000-000004000000}">
      <text>
        <r>
          <rPr>
            <sz val="10"/>
            <rFont val="Arial"/>
            <family val="2"/>
          </rPr>
          <t>Quantidade de faixas conforme o critério selecionado na aba Parâmetros.</t>
        </r>
      </text>
    </comment>
  </commentList>
</comments>
</file>

<file path=xl/sharedStrings.xml><?xml version="1.0" encoding="utf-8"?>
<sst xmlns="http://schemas.openxmlformats.org/spreadsheetml/2006/main" count="131" uniqueCount="124">
  <si>
    <t>Avaliação mensal de disponibilidade — INMS 1.5</t>
  </si>
  <si>
    <t>Preencha somente as células azuis. Os cálculos seguem literalmente a fórmula informada no contrato.</t>
  </si>
  <si>
    <t>AGREGADO</t>
  </si>
  <si>
    <t>Competência</t>
  </si>
  <si>
    <t>ID</t>
  </si>
  <si>
    <t>Sistema/serviço</t>
  </si>
  <si>
    <t>Disponibilidade (Fornecedor)</t>
  </si>
  <si>
    <t>HT (h)</t>
  </si>
  <si>
    <t>HMP (h)</t>
  </si>
  <si>
    <t>HIJ (h)</t>
  </si>
  <si>
    <t>HFT (h)</t>
  </si>
  <si>
    <t>Denominador (h)</t>
  </si>
  <si>
    <t>Numerador (h)</t>
  </si>
  <si>
    <t>Disponibilidade</t>
  </si>
  <si>
    <t>Meta</t>
  </si>
  <si>
    <t>Déficit (p.p.)</t>
  </si>
  <si>
    <t>Faixas de 0,1%</t>
  </si>
  <si>
    <t>Pontos</t>
  </si>
  <si>
    <t>Resultado</t>
  </si>
  <si>
    <t>Observações</t>
  </si>
  <si>
    <t>culturaviva.cultura.gov.br</t>
  </si>
  <si>
    <t>Parâmetro</t>
  </si>
  <si>
    <t>Valor</t>
  </si>
  <si>
    <t>Unidade</t>
  </si>
  <si>
    <t>Observação</t>
  </si>
  <si>
    <t>Meta de disponibilidade</t>
  </si>
  <si>
    <t>%</t>
  </si>
  <si>
    <t>Meta aplicada individualmente a cada sistema/serviço não-crítico.</t>
  </si>
  <si>
    <t>Faixa de penalização</t>
  </si>
  <si>
    <t>ponto percentual</t>
  </si>
  <si>
    <t>Corresponde a 0,1 ponto percentual abaixo da meta.</t>
  </si>
  <si>
    <t>Pontos por faixa</t>
  </si>
  <si>
    <t>pontos</t>
  </si>
  <si>
    <t>250 pontos a cada faixa de 0,1% abaixo da meta.</t>
  </si>
  <si>
    <t>Critério para fração de faixa</t>
  </si>
  <si>
    <t>INICIADA</t>
  </si>
  <si>
    <t>INICIADA: qualquer fração conta como uma faixa. COMPLETA: somente faixas completas.</t>
  </si>
  <si>
    <t>Fórmula contratual</t>
  </si>
  <si>
    <t>INMS 1.5 = ((HFT − HMP − HIJ) / (HT − HMP − HIJ)) × 100</t>
  </si>
  <si>
    <t>Siglas</t>
  </si>
  <si>
    <t>HT</t>
  </si>
  <si>
    <t>Horas Totais no Período</t>
  </si>
  <si>
    <t>HMP</t>
  </si>
  <si>
    <t>Horas de Manutenção Preventiva</t>
  </si>
  <si>
    <t>HIJ</t>
  </si>
  <si>
    <t>Horas Indisponíveis Justificadas</t>
  </si>
  <si>
    <t>HFT</t>
  </si>
  <si>
    <t>Horas Totais de Funcionamento no Período</t>
  </si>
  <si>
    <t>Como utilizar a planilha</t>
  </si>
  <si>
    <t>1. Parâmetros</t>
  </si>
  <si>
    <t>Revise a meta, a faixa, os pontos e principalmente o critério para frações de 0,1%. O padrão é “INICIADA”.</t>
  </si>
  <si>
    <t>2. Lançamentos</t>
  </si>
  <si>
    <t>Na aba Avaliação SLA, informe competência, sistema/serviço, HT, HMP, HIJ e HFT. Use uma linha por sistema/serviço e por mês.</t>
  </si>
  <si>
    <t>3. Resultado</t>
  </si>
  <si>
    <t>A disponibilidade é comparada individualmente à meta de 99,00%. A planilha calcula o déficit, as faixas, os pontos e a situação.</t>
  </si>
  <si>
    <t>4. Consistência</t>
  </si>
  <si>
    <t>Linhas com denominador menor ou igual a zero, numerador negativo ou numerador maior que o denominador serão marcadas como REVISAR DADOS.</t>
  </si>
  <si>
    <t>5. Atenção contratual</t>
  </si>
  <si>
    <t>A fórmula do INMS 1.5 foi reproduzida literalmente. Para cada sistema/serviço não-crítico, a meta é 99,00% e a penalização é de 250 pontos a cada 0,1% abaixo da meta. A forma de contar frações de 0,1% deve seguir a interpretação formal adotada pela fiscalização e pelo contrato.</t>
  </si>
  <si>
    <t>Indicador</t>
  </si>
  <si>
    <t>Situação</t>
  </si>
  <si>
    <t>Quantidade</t>
  </si>
  <si>
    <t>Registros avaliados</t>
  </si>
  <si>
    <t>Atendido</t>
  </si>
  <si>
    <t>Atendidos</t>
  </si>
  <si>
    <t>Não atendido</t>
  </si>
  <si>
    <t>Não atendidos</t>
  </si>
  <si>
    <t>Revisar</t>
  </si>
  <si>
    <t>Revisar dados</t>
  </si>
  <si>
    <t>Disponibilidade média</t>
  </si>
  <si>
    <t>Total de pontos</t>
  </si>
  <si>
    <t>sei.funarte.gov.br</t>
  </si>
  <si>
    <t>sei.palmares.gov.br</t>
  </si>
  <si>
    <t>seinfra.wiki.cultura.gov.br</t>
  </si>
  <si>
    <t>servicos.cultura.gov.br</t>
  </si>
  <si>
    <t>siminc2.cultura.gov.br</t>
  </si>
  <si>
    <t>snbp.wiki.cultura.gov.br</t>
  </si>
  <si>
    <t>arquiteturaeurbanismo.cnpc.cultura.gov.br</t>
  </si>
  <si>
    <t>arquivos.cnpc.cultura.gov.br</t>
  </si>
  <si>
    <t>artedigital.cnpc.cultura.gov.br</t>
  </si>
  <si>
    <t>artesanato.cnpc.cultura.gov.br</t>
  </si>
  <si>
    <t>artesvisuais.cnpc.cultura.gov.br</t>
  </si>
  <si>
    <t>circo.cnpc.cultura.gov.br</t>
  </si>
  <si>
    <t>cnpc.cultura.gov.br</t>
  </si>
  <si>
    <t>comissoesegts.cnpc.cultura.gov.br</t>
  </si>
  <si>
    <t>culturadospovosindigenas.cnpc.cultura.gov.br</t>
  </si>
  <si>
    <t>culturasafrobrasileiras.cnpc.cultura.gov.br</t>
  </si>
  <si>
    <t>culturaspopulares.cnpc.cultura.gov.br</t>
  </si>
  <si>
    <t>danca.cnpc.cultura.gov.br</t>
  </si>
  <si>
    <t>design.cnpc.cultura.gov.br</t>
  </si>
  <si>
    <t>escoladedebate.cnpc.cultura.gov.br</t>
  </si>
  <si>
    <t>livroleituraeliteratura.cnpc.cultura.gov.br</t>
  </si>
  <si>
    <t>moda.cnpc.cultura.gov.br</t>
  </si>
  <si>
    <t>museus.cnpc.cultura.gov.br</t>
  </si>
  <si>
    <t>musica.cnpc.cultura.gov.br</t>
  </si>
  <si>
    <t>musicaerudita.cnpc.cultura.gov.br</t>
  </si>
  <si>
    <t>musicapopular.cnpc.cultura.gov.br</t>
  </si>
  <si>
    <t>patrimonioimaterial.cnpc.cultura.gov.br</t>
  </si>
  <si>
    <t>patrimoniomaterial.cnpc.cultura.gov.br</t>
  </si>
  <si>
    <t>plenario.cnpc.cultura.gov.br</t>
  </si>
  <si>
    <t>bdb.cultura.gov.br</t>
  </si>
  <si>
    <t>programadora.cultura.gov.br</t>
  </si>
  <si>
    <t>atlas-obec.cultura.gov.br</t>
  </si>
  <si>
    <t>biblioteca.cultura.gov.br</t>
  </si>
  <si>
    <t>koha.cultura.gov.br</t>
  </si>
  <si>
    <t>apolo.cultura.gov.br</t>
  </si>
  <si>
    <t>minc-aiops.cultura.gov.br</t>
  </si>
  <si>
    <t>leideincentivoacultura.cultura.gov.br</t>
  </si>
  <si>
    <t>repositorio.cultura.gov.br</t>
  </si>
  <si>
    <t>jenkins.cultura.gov.br</t>
  </si>
  <si>
    <t>rancher.cultura.gov.br</t>
  </si>
  <si>
    <t>nexus.cultura.gov.br</t>
  </si>
  <si>
    <t>informerendimentos.cultura.gov.br</t>
  </si>
  <si>
    <t>adm-bdbconsultakoha.cultura.gov.br</t>
  </si>
  <si>
    <t>opac.bdb.koha.cultura.gov.br</t>
  </si>
  <si>
    <t>redmine.cultura.gov.br</t>
  </si>
  <si>
    <t>assistabrasilctav.cultura.gov.br</t>
  </si>
  <si>
    <t>atlas.base-wp.cultura.gov.br</t>
  </si>
  <si>
    <t>base-wp.cultura.gov.br</t>
  </si>
  <si>
    <t>intranet.cultura.gov.br</t>
  </si>
  <si>
    <t>participaceus.cultura.gov.br</t>
  </si>
  <si>
    <t>plano.dados.cultura.gov.br</t>
  </si>
  <si>
    <t>portalsnc.cultura.gov.br</t>
  </si>
  <si>
    <t>pracinhas.cultura.gov.br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</si>
</sst>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416]mmm\-yy;@"/>
    <numFmt numFmtId="165" formatCode="#,##0.00;\(#,##0.00\);\-"/>
    <numFmt numFmtId="166" formatCode="0.00%;\(0.00%\);\-"/>
    <numFmt numFmtId="167" formatCode="0.0%;\(0.0%\);\-"/>
    <numFmt numFmtId="168" formatCode="#,##0;\(#,##0\);\-"/>
    <numFmt numFmtId="169" formatCode="m/d/yyyy"/>
    <numFmt numFmtId="170" formatCode="0.0%"/>
  </numFmts>
  <fonts count="19" x14ac:knownFonts="1">
    <font>
      <sz val="11"/>
      <color theme="1"/>
      <name val="Calibri"/>
      <family val="2"/>
      <charset val="1"/>
    </font>
    <font>
      <sz val="11"/>
      <color theme="1"/>
      <name val="Arial Nova"/>
      <family val="2"/>
      <charset val="1"/>
    </font>
    <font>
      <b/>
      <sz val="15"/>
      <color rgb="FFFFFFFF"/>
      <name val="Arial Nova"/>
      <family val="2"/>
      <charset val="1"/>
    </font>
    <font>
      <sz val="11"/>
      <color theme="0"/>
      <name val="Arial Nova"/>
      <family val="2"/>
      <charset val="1"/>
    </font>
    <font>
      <i/>
      <sz val="10"/>
      <color rgb="FF666666"/>
      <name val="Arial Nova"/>
      <family val="2"/>
      <charset val="1"/>
    </font>
    <font>
      <b/>
      <sz val="10"/>
      <color rgb="FF1F1F1F"/>
      <name val="Arial Nova"/>
      <charset val="1"/>
    </font>
    <font>
      <b/>
      <sz val="9"/>
      <color rgb="FFFFFFFF"/>
      <name val="Arial Nova"/>
      <family val="2"/>
      <charset val="1"/>
    </font>
    <font>
      <sz val="10"/>
      <color rgb="FF0000FF"/>
      <name val="Arial Nova"/>
      <family val="2"/>
      <charset val="1"/>
    </font>
    <font>
      <sz val="10"/>
      <color rgb="FF000000"/>
      <name val="Arial Nova"/>
      <family val="2"/>
      <charset val="1"/>
    </font>
    <font>
      <sz val="10"/>
      <color rgb="FF008000"/>
      <name val="Arial Nova"/>
      <family val="2"/>
      <charset val="1"/>
    </font>
    <font>
      <sz val="10"/>
      <name val="Arial"/>
      <family val="2"/>
    </font>
    <font>
      <b/>
      <sz val="10"/>
      <color rgb="FFFFFFFF"/>
      <name val="Arial Nova"/>
      <family val="2"/>
      <charset val="1"/>
    </font>
    <font>
      <b/>
      <sz val="10"/>
      <color rgb="FF666666"/>
      <name val="Arial Nova"/>
      <family val="2"/>
      <charset val="1"/>
    </font>
    <font>
      <sz val="10"/>
      <color rgb="FF666666"/>
      <name val="Arial Nova"/>
      <family val="2"/>
      <charset val="1"/>
    </font>
    <font>
      <b/>
      <sz val="10"/>
      <color rgb="FF1F4E78"/>
      <name val="Arial Nova"/>
      <family val="2"/>
      <charset val="1"/>
    </font>
    <font>
      <sz val="9"/>
      <color indexed="81"/>
      <name val="Segoe UI"/>
      <charset val="1"/>
    </font>
    <font>
      <sz val="10"/>
      <color indexed="81"/>
      <name val="Arial Nova"/>
      <family val="2"/>
    </font>
    <font>
      <sz val="9"/>
      <color indexed="81"/>
      <name val="Segoe UI"/>
      <family val="2"/>
    </font>
    <font>
      <sz val="11"/>
      <color theme="1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3" tint="-0.499984740745262"/>
        <bgColor rgb="FF1F1F1F"/>
      </patternFill>
    </fill>
    <fill>
      <patternFill patternType="solid">
        <fgColor rgb="FFD9EAF7"/>
        <bgColor rgb="FFDCE6F2"/>
      </patternFill>
    </fill>
    <fill>
      <patternFill patternType="solid">
        <fgColor rgb="FF1F4E78"/>
        <bgColor rgb="FF17365D"/>
      </patternFill>
    </fill>
    <fill>
      <patternFill patternType="solid">
        <fgColor theme="4" tint="0.79989013336588644"/>
        <bgColor rgb="FFD9EAF7"/>
      </patternFill>
    </fill>
    <fill>
      <patternFill patternType="solid">
        <fgColor theme="4" tint="0.59987182226020086"/>
        <bgColor rgb="FFD9D9D9"/>
      </patternFill>
    </fill>
    <fill>
      <patternFill patternType="solid">
        <fgColor theme="0"/>
        <bgColor rgb="FFF9F9F9"/>
      </patternFill>
    </fill>
    <fill>
      <patternFill patternType="solid">
        <fgColor rgb="FFFFF2CC"/>
        <bgColor rgb="FFFCE4D6"/>
      </patternFill>
    </fill>
  </fills>
  <borders count="5">
    <border>
      <left/>
      <right/>
      <top/>
      <bottom/>
      <diagonal/>
    </border>
    <border>
      <left/>
      <right/>
      <top style="thin">
        <color rgb="FF5B9BD5"/>
      </top>
      <bottom style="thin">
        <color rgb="FF5B9BD5"/>
      </bottom>
      <diagonal/>
    </border>
    <border>
      <left/>
      <right/>
      <top/>
      <bottom style="medium">
        <color rgb="FF17365D"/>
      </bottom>
      <diagonal/>
    </border>
    <border>
      <left/>
      <right/>
      <top/>
      <bottom style="thin">
        <color rgb="FFA6A6A6"/>
      </bottom>
      <diagonal/>
    </border>
    <border>
      <left/>
      <right/>
      <top style="medium">
        <color rgb="FF17365D"/>
      </top>
      <bottom/>
      <diagonal/>
    </border>
  </borders>
  <cellStyleXfs count="2">
    <xf numFmtId="0" fontId="0" fillId="0" borderId="0"/>
    <xf numFmtId="9" fontId="18" fillId="0" borderId="0" applyFont="0" applyFill="0" applyBorder="0" applyAlignment="0" applyProtection="0"/>
  </cellStyleXfs>
  <cellXfs count="64">
    <xf numFmtId="0" fontId="0" fillId="0" borderId="0" xfId="0"/>
    <xf numFmtId="0" fontId="13" fillId="0" borderId="0" xfId="0" applyFont="1" applyAlignment="1">
      <alignment vertical="center"/>
    </xf>
    <xf numFmtId="0" fontId="13" fillId="0" borderId="0" xfId="0" applyFont="1" applyAlignment="1">
      <alignment vertical="center" wrapText="1"/>
    </xf>
    <xf numFmtId="0" fontId="1" fillId="0" borderId="0" xfId="0" applyFont="1"/>
    <xf numFmtId="1" fontId="1" fillId="0" borderId="0" xfId="0" applyNumberFormat="1" applyFont="1"/>
    <xf numFmtId="0" fontId="2" fillId="2" borderId="0" xfId="0" applyFont="1" applyFill="1" applyAlignment="1">
      <alignment vertical="center"/>
    </xf>
    <xf numFmtId="0" fontId="1" fillId="2" borderId="0" xfId="0" applyFont="1" applyFill="1"/>
    <xf numFmtId="1" fontId="1" fillId="2" borderId="0" xfId="0" applyNumberFormat="1" applyFont="1" applyFill="1"/>
    <xf numFmtId="0" fontId="5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10" fontId="5" fillId="3" borderId="1" xfId="0" applyNumberFormat="1" applyFont="1" applyFill="1" applyBorder="1" applyAlignment="1">
      <alignment horizontal="center" vertical="center" wrapText="1"/>
    </xf>
    <xf numFmtId="2" fontId="5" fillId="3" borderId="1" xfId="0" applyNumberFormat="1" applyFont="1" applyFill="1" applyBorder="1" applyAlignment="1">
      <alignment horizontal="center" vertical="center" wrapText="1"/>
    </xf>
    <xf numFmtId="3" fontId="5" fillId="3" borderId="1" xfId="0" applyNumberFormat="1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1" fontId="6" fillId="4" borderId="2" xfId="0" applyNumberFormat="1" applyFont="1" applyFill="1" applyBorder="1" applyAlignment="1">
      <alignment horizontal="center" vertical="center" wrapText="1"/>
    </xf>
    <xf numFmtId="164" fontId="7" fillId="5" borderId="0" xfId="0" applyNumberFormat="1" applyFont="1" applyFill="1" applyAlignment="1">
      <alignment horizontal="right" vertical="top"/>
    </xf>
    <xf numFmtId="0" fontId="7" fillId="5" borderId="0" xfId="0" applyFont="1" applyFill="1" applyAlignment="1">
      <alignment horizontal="left" vertical="top" wrapText="1"/>
    </xf>
    <xf numFmtId="10" fontId="7" fillId="5" borderId="0" xfId="0" applyNumberFormat="1" applyFont="1" applyFill="1" applyAlignment="1">
      <alignment horizontal="right" vertical="top"/>
    </xf>
    <xf numFmtId="1" fontId="7" fillId="0" borderId="0" xfId="0" applyNumberFormat="1" applyFont="1" applyAlignment="1">
      <alignment horizontal="right" vertical="top"/>
    </xf>
    <xf numFmtId="165" fontId="7" fillId="5" borderId="0" xfId="0" applyNumberFormat="1" applyFont="1" applyFill="1" applyAlignment="1">
      <alignment horizontal="right" vertical="top"/>
    </xf>
    <xf numFmtId="165" fontId="7" fillId="0" borderId="0" xfId="0" applyNumberFormat="1" applyFont="1" applyAlignment="1">
      <alignment horizontal="right" vertical="top"/>
    </xf>
    <xf numFmtId="165" fontId="8" fillId="0" borderId="0" xfId="0" applyNumberFormat="1" applyFont="1" applyAlignment="1">
      <alignment horizontal="right" vertical="center"/>
    </xf>
    <xf numFmtId="166" fontId="8" fillId="0" borderId="0" xfId="0" applyNumberFormat="1" applyFont="1" applyAlignment="1">
      <alignment horizontal="right" vertical="center"/>
    </xf>
    <xf numFmtId="167" fontId="9" fillId="0" borderId="0" xfId="0" applyNumberFormat="1" applyFont="1" applyAlignment="1">
      <alignment horizontal="right" vertical="center"/>
    </xf>
    <xf numFmtId="167" fontId="8" fillId="0" borderId="0" xfId="0" applyNumberFormat="1" applyFont="1" applyAlignment="1">
      <alignment horizontal="right" vertical="center"/>
    </xf>
    <xf numFmtId="168" fontId="9" fillId="0" borderId="0" xfId="0" applyNumberFormat="1" applyFont="1" applyAlignment="1">
      <alignment horizontal="right" vertical="center"/>
    </xf>
    <xf numFmtId="0" fontId="8" fillId="0" borderId="0" xfId="0" applyFont="1" applyAlignment="1">
      <alignment horizontal="center" vertical="center" wrapText="1"/>
    </xf>
    <xf numFmtId="10" fontId="1" fillId="0" borderId="0" xfId="0" applyNumberFormat="1" applyFont="1"/>
    <xf numFmtId="0" fontId="7" fillId="6" borderId="0" xfId="0" applyFont="1" applyFill="1" applyAlignment="1">
      <alignment horizontal="left" vertical="top" wrapText="1"/>
    </xf>
    <xf numFmtId="169" fontId="7" fillId="5" borderId="0" xfId="0" applyNumberFormat="1" applyFont="1" applyFill="1" applyAlignment="1">
      <alignment horizontal="right" vertical="top"/>
    </xf>
    <xf numFmtId="1" fontId="7" fillId="7" borderId="0" xfId="0" applyNumberFormat="1" applyFont="1" applyFill="1" applyAlignment="1">
      <alignment horizontal="right" vertical="top"/>
    </xf>
    <xf numFmtId="169" fontId="1" fillId="5" borderId="0" xfId="0" applyNumberFormat="1" applyFont="1" applyFill="1"/>
    <xf numFmtId="0" fontId="1" fillId="5" borderId="0" xfId="0" applyFont="1" applyFill="1"/>
    <xf numFmtId="1" fontId="1" fillId="7" borderId="0" xfId="0" applyNumberFormat="1" applyFont="1" applyFill="1"/>
    <xf numFmtId="165" fontId="1" fillId="5" borderId="0" xfId="0" applyNumberFormat="1" applyFont="1" applyFill="1"/>
    <xf numFmtId="0" fontId="11" fillId="4" borderId="2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170" fontId="7" fillId="8" borderId="0" xfId="0" applyNumberFormat="1" applyFont="1" applyFill="1" applyAlignment="1">
      <alignment vertical="center" wrapText="1"/>
    </xf>
    <xf numFmtId="168" fontId="7" fillId="8" borderId="0" xfId="0" applyNumberFormat="1" applyFont="1" applyFill="1" applyAlignment="1">
      <alignment vertical="center" wrapText="1"/>
    </xf>
    <xf numFmtId="0" fontId="7" fillId="8" borderId="0" xfId="0" applyFont="1" applyFill="1" applyAlignment="1">
      <alignment vertical="center" wrapText="1"/>
    </xf>
    <xf numFmtId="0" fontId="13" fillId="0" borderId="0" xfId="0" applyFont="1" applyAlignment="1">
      <alignment vertical="top" wrapText="1"/>
    </xf>
    <xf numFmtId="0" fontId="13" fillId="0" borderId="0" xfId="0" applyFont="1"/>
    <xf numFmtId="0" fontId="7" fillId="8" borderId="0" xfId="0" applyFont="1" applyFill="1"/>
    <xf numFmtId="0" fontId="12" fillId="0" borderId="0" xfId="0" applyFont="1"/>
    <xf numFmtId="0" fontId="14" fillId="0" borderId="3" xfId="0" applyFont="1" applyBorder="1" applyAlignment="1">
      <alignment horizontal="left" vertical="center" wrapText="1"/>
    </xf>
    <xf numFmtId="0" fontId="11" fillId="4" borderId="2" xfId="0" applyFont="1" applyFill="1" applyBorder="1" applyAlignment="1">
      <alignment vertical="center"/>
    </xf>
    <xf numFmtId="0" fontId="1" fillId="0" borderId="0" xfId="0" applyFont="1" applyAlignment="1">
      <alignment vertical="center" wrapText="1"/>
    </xf>
    <xf numFmtId="0" fontId="8" fillId="0" borderId="0" xfId="0" applyFont="1" applyAlignment="1">
      <alignment vertical="center"/>
    </xf>
    <xf numFmtId="0" fontId="13" fillId="0" borderId="4" xfId="0" applyFont="1" applyBorder="1" applyAlignment="1">
      <alignment vertical="center" wrapText="1"/>
    </xf>
    <xf numFmtId="167" fontId="1" fillId="0" borderId="4" xfId="0" applyNumberFormat="1" applyFont="1" applyBorder="1" applyAlignment="1">
      <alignment vertical="center" wrapText="1"/>
    </xf>
    <xf numFmtId="0" fontId="1" fillId="0" borderId="4" xfId="0" applyFont="1" applyBorder="1"/>
    <xf numFmtId="168" fontId="1" fillId="0" borderId="4" xfId="0" applyNumberFormat="1" applyFont="1" applyBorder="1" applyAlignment="1">
      <alignment vertical="center" wrapText="1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13" fillId="4" borderId="0" xfId="0" applyFont="1" applyFill="1" applyAlignment="1">
      <alignment vertical="center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horizontal="left" vertical="top" wrapText="1"/>
    </xf>
    <xf numFmtId="0" fontId="2" fillId="2" borderId="0" xfId="0" applyFont="1" applyFill="1" applyAlignment="1">
      <alignment horizontal="left" vertical="center"/>
    </xf>
    <xf numFmtId="0" fontId="13" fillId="0" borderId="0" xfId="0" applyFont="1" applyAlignment="1">
      <alignment horizontal="left" vertical="center" wrapText="1"/>
    </xf>
    <xf numFmtId="9" fontId="7" fillId="5" borderId="0" xfId="1" applyFont="1" applyFill="1" applyAlignment="1">
      <alignment vertical="top" wrapText="1"/>
    </xf>
    <xf numFmtId="9" fontId="1" fillId="5" borderId="0" xfId="1" applyFont="1" applyFill="1" applyAlignment="1"/>
    <xf numFmtId="10" fontId="7" fillId="5" borderId="0" xfId="1" applyNumberFormat="1" applyFont="1" applyFill="1" applyAlignment="1">
      <alignment vertical="top"/>
    </xf>
    <xf numFmtId="10" fontId="7" fillId="5" borderId="0" xfId="1" applyNumberFormat="1" applyFont="1" applyFill="1" applyAlignment="1">
      <alignment vertical="top" wrapText="1"/>
    </xf>
  </cellXfs>
  <cellStyles count="2">
    <cellStyle name="Normal" xfId="0" builtinId="0"/>
    <cellStyle name="Porcentagem" xfId="1" builtinId="5"/>
  </cellStyles>
  <dxfs count="3">
    <dxf>
      <fill>
        <patternFill>
          <bgColor rgb="FFFCE4D6"/>
        </patternFill>
      </fill>
    </dxf>
    <dxf>
      <fill>
        <patternFill>
          <bgColor rgb="FFF4CCCC"/>
        </patternFill>
      </fill>
    </dxf>
    <dxf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5B9BD5"/>
      <rgbColor rgb="FF993366"/>
      <rgbColor rgb="FFFFF2CC"/>
      <rgbColor rgb="FFD9EAF7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E2F0D9"/>
      <rgbColor rgb="FFFCE4D6"/>
      <rgbColor rgb="FFF9F9F9"/>
      <rgbColor rgb="FFFF99CC"/>
      <rgbColor rgb="FFCC99FF"/>
      <rgbColor rgb="FFF4CCCC"/>
      <rgbColor rgb="FF4F81BD"/>
      <rgbColor rgb="FF33CCCC"/>
      <rgbColor rgb="FF99CC00"/>
      <rgbColor rgb="FFFFCC00"/>
      <rgbColor rgb="FFFF9900"/>
      <rgbColor rgb="FFFF6600"/>
      <rgbColor rgb="FF666666"/>
      <rgbColor rgb="FFA6A6A6"/>
      <rgbColor rgb="FF17365D"/>
      <rgbColor rgb="FF339966"/>
      <rgbColor rgb="FF10243E"/>
      <rgbColor rgb="FF333300"/>
      <rgbColor rgb="FF993300"/>
      <rgbColor rgb="FF993366"/>
      <rgbColor rgb="FF1F4E78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Arial Nova"/>
              </a:rPr>
              <a:t>Resultado das avaliações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Resumo!$E$3</c:f>
              <c:strCache>
                <c:ptCount val="1"/>
                <c:pt idx="0">
                  <c:v>Quantidade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Resumo!$D$4:$D$6</c:f>
              <c:strCache>
                <c:ptCount val="3"/>
                <c:pt idx="0">
                  <c:v>Atendido</c:v>
                </c:pt>
                <c:pt idx="1">
                  <c:v>Não atendido</c:v>
                </c:pt>
                <c:pt idx="2">
                  <c:v>Revisar</c:v>
                </c:pt>
              </c:strCache>
            </c:strRef>
          </c:cat>
          <c:val>
            <c:numRef>
              <c:f>Resumo!$E$4:$E$6</c:f>
              <c:numCache>
                <c:formatCode>General</c:formatCode>
                <c:ptCount val="3"/>
                <c:pt idx="0">
                  <c:v>53</c:v>
                </c:pt>
                <c:pt idx="1">
                  <c:v>5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91-4E84-BDD3-A153E493D1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149029"/>
        <c:axId val="53662324"/>
      </c:barChart>
      <c:catAx>
        <c:axId val="814902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Situação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 Nova"/>
              </a:defRPr>
            </a:pPr>
            <a:endParaRPr lang="en-US"/>
          </a:p>
        </c:txPr>
        <c:crossAx val="53662324"/>
        <c:crosses val="autoZero"/>
        <c:auto val="1"/>
        <c:lblAlgn val="ctr"/>
        <c:lblOffset val="100"/>
        <c:noMultiLvlLbl val="0"/>
      </c:catAx>
      <c:valAx>
        <c:axId val="536623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Arial Nova"/>
                  </a:rPr>
                  <a:t>Quantidade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14902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 Nova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45360</xdr:colOff>
      <xdr:row>10</xdr:row>
      <xdr:rowOff>27360</xdr:rowOff>
    </xdr:from>
    <xdr:to>
      <xdr:col>6</xdr:col>
      <xdr:colOff>119880</xdr:colOff>
      <xdr:row>24</xdr:row>
      <xdr:rowOff>6120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AvaliacaoSLA" displayName="tbAvaliacaoSLA" ref="A4:Q124" totalsRowShown="0">
  <autoFilter ref="A4:Q124" xr:uid="{00000000-0009-0000-0100-000001000000}"/>
  <sortState xmlns:xlrd2="http://schemas.microsoft.com/office/spreadsheetml/2017/richdata2" ref="A5:Q124">
    <sortCondition ref="C4:C124"/>
  </sortState>
  <tableColumns count="17">
    <tableColumn id="1" xr3:uid="{00000000-0010-0000-0000-000001000000}" name="Competência"/>
    <tableColumn id="2" xr3:uid="{00000000-0010-0000-0000-000002000000}" name="ID"/>
    <tableColumn id="3" xr3:uid="{00000000-0010-0000-0000-000003000000}" name="Sistema/serviço"/>
    <tableColumn id="4" xr3:uid="{00000000-0010-0000-0000-000004000000}" name="Disponibilidade (Fornecedor)"/>
    <tableColumn id="5" xr3:uid="{00000000-0010-0000-0000-000005000000}" name="HT (h)"/>
    <tableColumn id="6" xr3:uid="{00000000-0010-0000-0000-000006000000}" name="HMP (h)"/>
    <tableColumn id="7" xr3:uid="{00000000-0010-0000-0000-000007000000}" name="HIJ (h)"/>
    <tableColumn id="8" xr3:uid="{00000000-0010-0000-0000-000008000000}" name="HFT (h)"/>
    <tableColumn id="9" xr3:uid="{00000000-0010-0000-0000-000009000000}" name="Denominador (h)"/>
    <tableColumn id="10" xr3:uid="{00000000-0010-0000-0000-00000A000000}" name="Numerador (h)"/>
    <tableColumn id="11" xr3:uid="{00000000-0010-0000-0000-00000B000000}" name="Disponibilidade"/>
    <tableColumn id="12" xr3:uid="{00000000-0010-0000-0000-00000C000000}" name="Meta"/>
    <tableColumn id="13" xr3:uid="{00000000-0010-0000-0000-00000D000000}" name="Déficit (p.p.)"/>
    <tableColumn id="14" xr3:uid="{00000000-0010-0000-0000-00000E000000}" name="Faixas de 0,1%"/>
    <tableColumn id="15" xr3:uid="{00000000-0010-0000-0000-00000F000000}" name="Pontos"/>
    <tableColumn id="16" xr3:uid="{00000000-0010-0000-0000-000010000000}" name="Resultado"/>
    <tableColumn id="17" xr3:uid="{00000000-0010-0000-0000-000011000000}" name="Observaçõ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124"/>
  <sheetViews>
    <sheetView showGridLines="0" tabSelected="1" zoomScaleNormal="100" workbookViewId="0">
      <pane ySplit="4" topLeftCell="A5" activePane="bottomLeft" state="frozen"/>
      <selection pane="bottomLeft" activeCell="C14" sqref="C14"/>
    </sheetView>
  </sheetViews>
  <sheetFormatPr defaultColWidth="8.7109375" defaultRowHeight="14.25" x14ac:dyDescent="0.2"/>
  <cols>
    <col min="1" max="2" width="12" style="3" customWidth="1"/>
    <col min="3" max="3" width="39" style="3" bestFit="1" customWidth="1"/>
    <col min="4" max="4" width="17.7109375" style="4" customWidth="1"/>
    <col min="5" max="7" width="10" style="3" customWidth="1"/>
    <col min="8" max="8" width="14" style="3" customWidth="1"/>
    <col min="9" max="9" width="13" style="3" customWidth="1"/>
    <col min="10" max="10" width="15" style="3" customWidth="1"/>
    <col min="11" max="11" width="13.5703125" style="3" customWidth="1"/>
    <col min="12" max="13" width="13" style="3" customWidth="1"/>
    <col min="14" max="14" width="12" style="3" customWidth="1"/>
    <col min="15" max="15" width="16" style="3" customWidth="1"/>
    <col min="16" max="16" width="15" style="3" customWidth="1"/>
    <col min="17" max="17" width="20" style="3" customWidth="1"/>
    <col min="18" max="18" width="8.7109375" style="3"/>
    <col min="19" max="19" width="9.140625" style="3" hidden="1" customWidth="1"/>
    <col min="20" max="16384" width="8.7109375" style="3"/>
  </cols>
  <sheetData>
    <row r="1" spans="1:19" ht="19.5" customHeight="1" x14ac:dyDescent="0.2">
      <c r="A1" s="5" t="s">
        <v>0</v>
      </c>
      <c r="B1" s="5"/>
      <c r="C1" s="6"/>
      <c r="D1" s="7"/>
      <c r="E1" s="6"/>
      <c r="F1" s="6"/>
      <c r="G1" s="6"/>
      <c r="H1" s="6"/>
      <c r="I1" s="6"/>
      <c r="J1" s="6"/>
      <c r="K1" s="6"/>
      <c r="L1" s="6"/>
      <c r="M1" s="52" t="str">
        <f>"Período de vigência " &amp; TEXT(A5-DAY(A5)+1, "dd/mm/aaaa") &amp; " a " &amp; TEXT(EOMONTH(A5,0), "dd/mm/aaaa")</f>
        <v>Período de vigência 01/07/2026 a 31/07/2026</v>
      </c>
      <c r="N1" s="52"/>
      <c r="O1" s="52"/>
      <c r="P1" s="52"/>
    </row>
    <row r="2" spans="1:19" ht="18" customHeight="1" x14ac:dyDescent="0.2">
      <c r="A2" s="53" t="s">
        <v>1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</row>
    <row r="3" spans="1:19" ht="24" customHeight="1" x14ac:dyDescent="0.2">
      <c r="A3" s="8" t="s">
        <v>2</v>
      </c>
      <c r="B3" s="9"/>
      <c r="C3" s="8" t="str">
        <f>SUBTOTAL(103,C5:C124)&amp;" registros"</f>
        <v>58 registros</v>
      </c>
      <c r="D3" s="10">
        <f>IFERROR(SUBTOTAL(101,D5:D124),"")</f>
        <v>0.99651896551724117</v>
      </c>
      <c r="E3" s="11">
        <f>SUBTOTAL(109,E5:E124)</f>
        <v>43152</v>
      </c>
      <c r="F3" s="11">
        <f>SUBTOTAL(109,F5:F124)</f>
        <v>0</v>
      </c>
      <c r="G3" s="11">
        <f>SUBTOTAL(109,G5:G124)</f>
        <v>0</v>
      </c>
      <c r="H3" s="11">
        <f>SUBTOTAL(109,H5:H124)</f>
        <v>43001.786399999997</v>
      </c>
      <c r="I3" s="11">
        <f>SUBTOTAL(109,I5:I124)</f>
        <v>43152</v>
      </c>
      <c r="J3" s="11">
        <f>SUBTOTAL(109,J5:J124)</f>
        <v>43001.786399999997</v>
      </c>
      <c r="K3" s="10">
        <f>IFERROR(J3/I3,"")</f>
        <v>0.99651896551724128</v>
      </c>
      <c r="L3" s="10">
        <f>IFERROR(SUBTOTAL(101,L5:L124),"")</f>
        <v>0.99000000000000055</v>
      </c>
      <c r="M3" s="10">
        <f>IF(K3="","",MAX(0,L3-K3))</f>
        <v>0</v>
      </c>
      <c r="N3" s="12">
        <f>SUBTOTAL(109,N5:N124)</f>
        <v>148</v>
      </c>
      <c r="O3" s="12">
        <f>SUBTOTAL(109,O5:O124)</f>
        <v>37000</v>
      </c>
      <c r="P3" s="9" t="str">
        <f>IF(K3="","",IF(K3&gt;=L3,"ATENDIDO","NÃO ATENDIDO"))</f>
        <v>ATENDIDO</v>
      </c>
    </row>
    <row r="4" spans="1:19" ht="31.5" customHeight="1" x14ac:dyDescent="0.2">
      <c r="A4" s="13" t="s">
        <v>3</v>
      </c>
      <c r="B4" s="13" t="s">
        <v>4</v>
      </c>
      <c r="C4" s="13" t="s">
        <v>5</v>
      </c>
      <c r="D4" s="13" t="s">
        <v>6</v>
      </c>
      <c r="E4" s="14" t="s">
        <v>7</v>
      </c>
      <c r="F4" s="13" t="s">
        <v>8</v>
      </c>
      <c r="G4" s="13" t="s">
        <v>9</v>
      </c>
      <c r="H4" s="13" t="s">
        <v>10</v>
      </c>
      <c r="I4" s="13" t="s">
        <v>11</v>
      </c>
      <c r="J4" s="13" t="s">
        <v>12</v>
      </c>
      <c r="K4" s="13" t="s">
        <v>13</v>
      </c>
      <c r="L4" s="13" t="s">
        <v>14</v>
      </c>
      <c r="M4" s="13" t="s">
        <v>15</v>
      </c>
      <c r="N4" s="13" t="s">
        <v>16</v>
      </c>
      <c r="O4" s="13" t="s">
        <v>17</v>
      </c>
      <c r="P4" s="13" t="s">
        <v>18</v>
      </c>
      <c r="Q4" s="13" t="s">
        <v>19</v>
      </c>
    </row>
    <row r="5" spans="1:19" ht="15" customHeight="1" x14ac:dyDescent="0.2">
      <c r="A5" s="15">
        <v>46204</v>
      </c>
      <c r="B5" s="15"/>
      <c r="C5" s="16" t="s">
        <v>113</v>
      </c>
      <c r="D5" s="17">
        <v>1</v>
      </c>
      <c r="E5" s="18">
        <f>IF(tbAvaliacaoSLA[[#This Row],[Competência]]="","",DAY(EOMONTH(tbAvaliacaoSLA[[#This Row],[Competência]],0))*24)</f>
        <v>744</v>
      </c>
      <c r="F5" s="19">
        <v>0</v>
      </c>
      <c r="G5" s="19">
        <v>0</v>
      </c>
      <c r="H5" s="20">
        <f>IF(OR(E5="",D5=""),"",E5*D5)</f>
        <v>744</v>
      </c>
      <c r="I5" s="21">
        <f>IFERROR(IF(OR(E5="",F5="",G5=""),"",E5-F5-G5),"")</f>
        <v>744</v>
      </c>
      <c r="J5" s="21">
        <f>IF(OR(H5="",F5="",G5=""),"",H5-F5-G5)</f>
        <v>744</v>
      </c>
      <c r="K5" s="22">
        <f>IFERROR(J5/I5,"")</f>
        <v>1</v>
      </c>
      <c r="L5" s="23">
        <f>IF(tbAvaliacaoSLA[[#This Row],[Competência]]="","",Parâmetros!$B$4)</f>
        <v>0.99</v>
      </c>
      <c r="M5" s="24">
        <f>IF(K5="","",MAX(0,L5-K5))</f>
        <v>0</v>
      </c>
      <c r="N5" s="25">
        <f>IF(M5="","",IF(Parâmetros!$B$7="INICIADA",ROUNDUP(M5/Parâmetros!$B$5,0),ROUNDDOWN(M5/Parâmetros!$B$5,0)))</f>
        <v>0</v>
      </c>
      <c r="O5" s="25">
        <f>IF(N5="","",N5*Parâmetros!$B$6)</f>
        <v>0</v>
      </c>
      <c r="P5" s="26" t="str">
        <f>IF(K5="","",IF(OR(I5&lt;=0,J5&lt;0,J5&gt;I5),"REVISAR DADOS",IF(K5&gt;=L5,"ATENDIDO","NÃO ATENDIDO")))</f>
        <v>ATENDIDO</v>
      </c>
      <c r="Q5" s="16"/>
      <c r="S5" s="27">
        <f>tbAvaliacaoSLA[[#This Row],[Disponibilidade (Fornecedor)]]</f>
        <v>1</v>
      </c>
    </row>
    <row r="6" spans="1:19" ht="15" customHeight="1" x14ac:dyDescent="0.2">
      <c r="A6" s="15">
        <f>IF(OR(tbAvaliacaoSLA[[#This Row],[Sistema/serviço]]="",A5=0),"",A5)</f>
        <v>46204</v>
      </c>
      <c r="B6" s="15"/>
      <c r="C6" s="16" t="s">
        <v>105</v>
      </c>
      <c r="D6" s="17">
        <v>0.99990000000000001</v>
      </c>
      <c r="E6" s="18">
        <f>IF(tbAvaliacaoSLA[[#This Row],[Competência]]="","",DAY(EOMONTH(tbAvaliacaoSLA[[#This Row],[Competência]],0))*24)</f>
        <v>744</v>
      </c>
      <c r="F6" s="19">
        <v>0</v>
      </c>
      <c r="G6" s="19">
        <v>0</v>
      </c>
      <c r="H6" s="20">
        <f>IF(OR(E6="",D6=""),"",E6*D6)</f>
        <v>743.92560000000003</v>
      </c>
      <c r="I6" s="21">
        <f>IFERROR(IF(OR(E6="",F6="",G6=""),"",E6-F6-G6),"")</f>
        <v>744</v>
      </c>
      <c r="J6" s="21">
        <f>IF(OR(H6="",F6="",G6=""),"",H6-F6-G6)</f>
        <v>743.92560000000003</v>
      </c>
      <c r="K6" s="22">
        <f>IFERROR(J6/I6,"")</f>
        <v>0.99990000000000001</v>
      </c>
      <c r="L6" s="23">
        <f>IF(tbAvaliacaoSLA[[#This Row],[Competência]]="","",Parâmetros!$B$4)</f>
        <v>0.99</v>
      </c>
      <c r="M6" s="24">
        <f>IF(K6="","",MAX(0,L6-K6))</f>
        <v>0</v>
      </c>
      <c r="N6" s="25">
        <f>IF(M6="","",IF(Parâmetros!$B$7="INICIADA",ROUNDUP(M6/Parâmetros!$B$5,0),ROUNDDOWN(M6/Parâmetros!$B$5,0)))</f>
        <v>0</v>
      </c>
      <c r="O6" s="25">
        <f>IF(N6="","",N6*Parâmetros!$B$6)</f>
        <v>0</v>
      </c>
      <c r="P6" s="26" t="str">
        <f>IF(K6="","",IF(OR(I6&lt;=0,J6&lt;0,J6&gt;I6),"REVISAR DADOS",IF(K6&gt;=L6,"ATENDIDO","NÃO ATENDIDO")))</f>
        <v>ATENDIDO</v>
      </c>
      <c r="Q6" s="16"/>
      <c r="S6" s="27">
        <f>tbAvaliacaoSLA[[#This Row],[Disponibilidade (Fornecedor)]]</f>
        <v>0.99990000000000001</v>
      </c>
    </row>
    <row r="7" spans="1:19" ht="15" customHeight="1" x14ac:dyDescent="0.2">
      <c r="A7" s="15">
        <f>IF(OR(tbAvaliacaoSLA[[#This Row],[Sistema/serviço]]="",A6=0),"",A6)</f>
        <v>46204</v>
      </c>
      <c r="B7" s="15"/>
      <c r="C7" s="16" t="s">
        <v>77</v>
      </c>
      <c r="D7" s="17">
        <v>1</v>
      </c>
      <c r="E7" s="18">
        <f>IF(tbAvaliacaoSLA[[#This Row],[Competência]]="","",DAY(EOMONTH(tbAvaliacaoSLA[[#This Row],[Competência]],0))*24)</f>
        <v>744</v>
      </c>
      <c r="F7" s="19">
        <v>0</v>
      </c>
      <c r="G7" s="19">
        <v>0</v>
      </c>
      <c r="H7" s="20">
        <f>IF(OR(E7="",D7=""),"",E7*D7)</f>
        <v>744</v>
      </c>
      <c r="I7" s="21">
        <f>IFERROR(IF(OR(E7="",F7="",G7=""),"",E7-F7-G7),"")</f>
        <v>744</v>
      </c>
      <c r="J7" s="21">
        <f>IF(OR(H7="",F7="",G7=""),"",H7-F7-G7)</f>
        <v>744</v>
      </c>
      <c r="K7" s="24">
        <f>IFERROR(J7/I7,"")</f>
        <v>1</v>
      </c>
      <c r="L7" s="23">
        <f>IF(tbAvaliacaoSLA[[#This Row],[Competência]]="","",Parâmetros!$B$4)</f>
        <v>0.99</v>
      </c>
      <c r="M7" s="24">
        <f>IF(K7="","",MAX(0,L7-K7))</f>
        <v>0</v>
      </c>
      <c r="N7" s="25">
        <f>IF(M7="","",IF(Parâmetros!$B$7="INICIADA",ROUNDUP(M7/Parâmetros!$B$5,0),ROUNDDOWN(M7/Parâmetros!$B$5,0)))</f>
        <v>0</v>
      </c>
      <c r="O7" s="25">
        <f>IF(N7="","",N7*Parâmetros!$B$6)</f>
        <v>0</v>
      </c>
      <c r="P7" s="26" t="str">
        <f>IF(K7="","",IF(OR(I7&lt;=0,J7&lt;0,J7&gt;I7),"REVISAR DADOS",IF(K7&gt;=L7,"ATENDIDO","NÃO ATENDIDO")))</f>
        <v>ATENDIDO</v>
      </c>
      <c r="Q7" s="28"/>
      <c r="S7" s="27">
        <f>tbAvaliacaoSLA[[#This Row],[Disponibilidade (Fornecedor)]]</f>
        <v>1</v>
      </c>
    </row>
    <row r="8" spans="1:19" ht="15" customHeight="1" x14ac:dyDescent="0.2">
      <c r="A8" s="15">
        <f>IF(OR(tbAvaliacaoSLA[[#This Row],[Sistema/serviço]]="",A7=0),"",A7)</f>
        <v>46204</v>
      </c>
      <c r="B8" s="15"/>
      <c r="C8" s="16" t="s">
        <v>78</v>
      </c>
      <c r="D8" s="17">
        <v>1</v>
      </c>
      <c r="E8" s="18">
        <f>IF(tbAvaliacaoSLA[[#This Row],[Competência]]="","",DAY(EOMONTH(tbAvaliacaoSLA[[#This Row],[Competência]],0))*24)</f>
        <v>744</v>
      </c>
      <c r="F8" s="19">
        <v>0</v>
      </c>
      <c r="G8" s="19">
        <v>0</v>
      </c>
      <c r="H8" s="20">
        <f>IF(OR(E8="",D8=""),"",E8*D8)</f>
        <v>744</v>
      </c>
      <c r="I8" s="21">
        <f>IFERROR(IF(OR(E8="",F8="",G8=""),"",E8-F8-G8),"")</f>
        <v>744</v>
      </c>
      <c r="J8" s="21">
        <f>IF(OR(H8="",F8="",G8=""),"",H8-F8-G8)</f>
        <v>744</v>
      </c>
      <c r="K8" s="22">
        <f>IFERROR(J8/I8,"")</f>
        <v>1</v>
      </c>
      <c r="L8" s="23">
        <f>IF(tbAvaliacaoSLA[[#This Row],[Competência]]="","",Parâmetros!$B$4)</f>
        <v>0.99</v>
      </c>
      <c r="M8" s="24">
        <f>IF(K8="","",MAX(0,L8-K8))</f>
        <v>0</v>
      </c>
      <c r="N8" s="25">
        <f>IF(M8="","",IF(Parâmetros!$B$7="INICIADA",ROUNDUP(M8/Parâmetros!$B$5,0),ROUNDDOWN(M8/Parâmetros!$B$5,0)))</f>
        <v>0</v>
      </c>
      <c r="O8" s="25">
        <f>IF(N8="","",N8*Parâmetros!$B$6)</f>
        <v>0</v>
      </c>
      <c r="P8" s="26" t="str">
        <f>IF(K8="","",IF(OR(I8&lt;=0,J8&lt;0,J8&gt;I8),"REVISAR DADOS",IF(K8&gt;=L8,"ATENDIDO","NÃO ATENDIDO")))</f>
        <v>ATENDIDO</v>
      </c>
      <c r="Q8" s="16"/>
      <c r="S8" s="27">
        <f>tbAvaliacaoSLA[[#This Row],[Disponibilidade (Fornecedor)]]</f>
        <v>1</v>
      </c>
    </row>
    <row r="9" spans="1:19" ht="15" customHeight="1" x14ac:dyDescent="0.2">
      <c r="A9" s="15">
        <f>IF(OR(tbAvaliacaoSLA[[#This Row],[Sistema/serviço]]="",A8=0),"",A8)</f>
        <v>46204</v>
      </c>
      <c r="B9" s="15"/>
      <c r="C9" s="16" t="s">
        <v>79</v>
      </c>
      <c r="D9" s="17">
        <v>0.99990000000000001</v>
      </c>
      <c r="E9" s="18">
        <f>IF(tbAvaliacaoSLA[[#This Row],[Competência]]="","",DAY(EOMONTH(tbAvaliacaoSLA[[#This Row],[Competência]],0))*24)</f>
        <v>744</v>
      </c>
      <c r="F9" s="19">
        <v>0</v>
      </c>
      <c r="G9" s="19">
        <v>0</v>
      </c>
      <c r="H9" s="20">
        <f>IF(OR(E9="",D9=""),"",E9*D9)</f>
        <v>743.92560000000003</v>
      </c>
      <c r="I9" s="21">
        <f>IFERROR(IF(OR(E9="",F9="",G9=""),"",E9-F9-G9),"")</f>
        <v>744</v>
      </c>
      <c r="J9" s="21">
        <f>IF(OR(H9="",F9="",G9=""),"",H9-F9-G9)</f>
        <v>743.92560000000003</v>
      </c>
      <c r="K9" s="22">
        <f>IFERROR(J9/I9,"")</f>
        <v>0.99990000000000001</v>
      </c>
      <c r="L9" s="23">
        <f>IF(tbAvaliacaoSLA[[#This Row],[Competência]]="","",Parâmetros!$B$4)</f>
        <v>0.99</v>
      </c>
      <c r="M9" s="24">
        <f>IF(K9="","",MAX(0,L9-K9))</f>
        <v>0</v>
      </c>
      <c r="N9" s="25">
        <f>IF(M9="","",IF(Parâmetros!$B$7="INICIADA",ROUNDUP(M9/Parâmetros!$B$5,0),ROUNDDOWN(M9/Parâmetros!$B$5,0)))</f>
        <v>0</v>
      </c>
      <c r="O9" s="25">
        <f>IF(N9="","",N9*Parâmetros!$B$6)</f>
        <v>0</v>
      </c>
      <c r="P9" s="26" t="str">
        <f>IF(K9="","",IF(OR(I9&lt;=0,J9&lt;0,J9&gt;I9),"REVISAR DADOS",IF(K9&gt;=L9,"ATENDIDO","NÃO ATENDIDO")))</f>
        <v>ATENDIDO</v>
      </c>
      <c r="Q9" s="28"/>
      <c r="S9" s="27">
        <f>tbAvaliacaoSLA[[#This Row],[Disponibilidade (Fornecedor)]]</f>
        <v>0.99990000000000001</v>
      </c>
    </row>
    <row r="10" spans="1:19" ht="15" customHeight="1" x14ac:dyDescent="0.2">
      <c r="A10" s="15">
        <f>IF(OR(tbAvaliacaoSLA[[#This Row],[Sistema/serviço]]="",A9=0),"",A9)</f>
        <v>46204</v>
      </c>
      <c r="B10" s="15"/>
      <c r="C10" s="16" t="s">
        <v>80</v>
      </c>
      <c r="D10" s="17">
        <v>1</v>
      </c>
      <c r="E10" s="18">
        <f>IF(tbAvaliacaoSLA[[#This Row],[Competência]]="","",DAY(EOMONTH(tbAvaliacaoSLA[[#This Row],[Competência]],0))*24)</f>
        <v>744</v>
      </c>
      <c r="F10" s="19">
        <v>0</v>
      </c>
      <c r="G10" s="19">
        <v>0</v>
      </c>
      <c r="H10" s="20">
        <f>IF(OR(E10="",D10=""),"",E10*D10)</f>
        <v>744</v>
      </c>
      <c r="I10" s="21">
        <f>IFERROR(IF(OR(E10="",F10="",G10=""),"",E10-F10-G10),"")</f>
        <v>744</v>
      </c>
      <c r="J10" s="21">
        <f>IF(OR(H10="",F10="",G10=""),"",H10-F10-G10)</f>
        <v>744</v>
      </c>
      <c r="K10" s="24">
        <f>IFERROR(J10/I10,"")</f>
        <v>1</v>
      </c>
      <c r="L10" s="23">
        <f>IF(tbAvaliacaoSLA[[#This Row],[Competência]]="","",Parâmetros!$B$4)</f>
        <v>0.99</v>
      </c>
      <c r="M10" s="24">
        <f>IF(K10="","",MAX(0,L10-K10))</f>
        <v>0</v>
      </c>
      <c r="N10" s="25">
        <f>IF(M10="","",IF(Parâmetros!$B$7="INICIADA",ROUNDUP(M10/Parâmetros!$B$5,0),ROUNDDOWN(M10/Parâmetros!$B$5,0)))</f>
        <v>0</v>
      </c>
      <c r="O10" s="25">
        <f>IF(N10="","",N10*Parâmetros!$B$6)</f>
        <v>0</v>
      </c>
      <c r="P10" s="26" t="str">
        <f>IF(K10="","",IF(OR(I10&lt;=0,J10&lt;0,J10&gt;I10),"REVISAR DADOS",IF(K10&gt;=L10,"ATENDIDO","NÃO ATENDIDO")))</f>
        <v>ATENDIDO</v>
      </c>
      <c r="Q10" s="16"/>
      <c r="S10" s="27">
        <f>tbAvaliacaoSLA[[#This Row],[Disponibilidade (Fornecedor)]]</f>
        <v>1</v>
      </c>
    </row>
    <row r="11" spans="1:19" ht="15" customHeight="1" x14ac:dyDescent="0.2">
      <c r="A11" s="15">
        <f>IF(OR(tbAvaliacaoSLA[[#This Row],[Sistema/serviço]]="",A10=0),"",A10)</f>
        <v>46204</v>
      </c>
      <c r="B11" s="15"/>
      <c r="C11" s="16" t="s">
        <v>81</v>
      </c>
      <c r="D11" s="17">
        <v>1</v>
      </c>
      <c r="E11" s="18">
        <f>IF(tbAvaliacaoSLA[[#This Row],[Competência]]="","",DAY(EOMONTH(tbAvaliacaoSLA[[#This Row],[Competência]],0))*24)</f>
        <v>744</v>
      </c>
      <c r="F11" s="19">
        <v>0</v>
      </c>
      <c r="G11" s="19">
        <v>0</v>
      </c>
      <c r="H11" s="20">
        <f>IF(OR(E11="",D11=""),"",E11*D11)</f>
        <v>744</v>
      </c>
      <c r="I11" s="21">
        <f>IFERROR(IF(OR(E11="",F11="",G11=""),"",E11-F11-G11),"")</f>
        <v>744</v>
      </c>
      <c r="J11" s="21">
        <f>IF(OR(H11="",F11="",G11=""),"",H11-F11-G11)</f>
        <v>744</v>
      </c>
      <c r="K11" s="22">
        <f>IFERROR(J11/I11,"")</f>
        <v>1</v>
      </c>
      <c r="L11" s="23">
        <f>IF(tbAvaliacaoSLA[[#This Row],[Competência]]="","",Parâmetros!$B$4)</f>
        <v>0.99</v>
      </c>
      <c r="M11" s="24">
        <f>IF(K11="","",MAX(0,L11-K11))</f>
        <v>0</v>
      </c>
      <c r="N11" s="25">
        <f>IF(M11="","",IF(Parâmetros!$B$7="INICIADA",ROUNDUP(M11/Parâmetros!$B$5,0),ROUNDDOWN(M11/Parâmetros!$B$5,0)))</f>
        <v>0</v>
      </c>
      <c r="O11" s="25">
        <f>IF(N11="","",N11*Parâmetros!$B$6)</f>
        <v>0</v>
      </c>
      <c r="P11" s="26" t="str">
        <f>IF(K11="","",IF(OR(I11&lt;=0,J11&lt;0,J11&gt;I11),"REVISAR DADOS",IF(K11&gt;=L11,"ATENDIDO","NÃO ATENDIDO")))</f>
        <v>ATENDIDO</v>
      </c>
      <c r="Q11" s="16"/>
      <c r="S11" s="27">
        <f>tbAvaliacaoSLA[[#This Row],[Disponibilidade (Fornecedor)]]</f>
        <v>1</v>
      </c>
    </row>
    <row r="12" spans="1:19" ht="15" customHeight="1" x14ac:dyDescent="0.2">
      <c r="A12" s="15">
        <f>IF(OR(tbAvaliacaoSLA[[#This Row],[Sistema/serviço]]="",A11=0),"",A11)</f>
        <v>46204</v>
      </c>
      <c r="B12" s="15"/>
      <c r="C12" s="16" t="s">
        <v>116</v>
      </c>
      <c r="D12" s="17">
        <v>0.99990000000000001</v>
      </c>
      <c r="E12" s="18">
        <f>IF(tbAvaliacaoSLA[[#This Row],[Competência]]="","",DAY(EOMONTH(tbAvaliacaoSLA[[#This Row],[Competência]],0))*24)</f>
        <v>744</v>
      </c>
      <c r="F12" s="19">
        <v>0</v>
      </c>
      <c r="G12" s="19">
        <v>0</v>
      </c>
      <c r="H12" s="20">
        <f>IF(OR(E12="",D12=""),"",E12*D12)</f>
        <v>743.92560000000003</v>
      </c>
      <c r="I12" s="21">
        <f>IFERROR(IF(OR(E12="",F12="",G12=""),"",E12-F12-G12),"")</f>
        <v>744</v>
      </c>
      <c r="J12" s="21">
        <f>IF(OR(H12="",F12="",G12=""),"",H12-F12-G12)</f>
        <v>743.92560000000003</v>
      </c>
      <c r="K12" s="24">
        <f>IFERROR(J12/I12,"")</f>
        <v>0.99990000000000001</v>
      </c>
      <c r="L12" s="23">
        <f>IF(tbAvaliacaoSLA[[#This Row],[Competência]]="","",Parâmetros!$B$4)</f>
        <v>0.99</v>
      </c>
      <c r="M12" s="24">
        <f>IF(K12="","",MAX(0,L12-K12))</f>
        <v>0</v>
      </c>
      <c r="N12" s="25">
        <f>IF(M12="","",IF(Parâmetros!$B$7="INICIADA",ROUNDUP(M12/Parâmetros!$B$5,0),ROUNDDOWN(M12/Parâmetros!$B$5,0)))</f>
        <v>0</v>
      </c>
      <c r="O12" s="25">
        <f>IF(N12="","",N12*Parâmetros!$B$6)</f>
        <v>0</v>
      </c>
      <c r="P12" s="26" t="str">
        <f>IF(K12="","",IF(OR(I12&lt;=0,J12&lt;0,J12&gt;I12),"REVISAR DADOS",IF(K12&gt;=L12,"ATENDIDO","NÃO ATENDIDO")))</f>
        <v>ATENDIDO</v>
      </c>
      <c r="Q12" s="28"/>
      <c r="S12" s="27">
        <f>tbAvaliacaoSLA[[#This Row],[Disponibilidade (Fornecedor)]]</f>
        <v>0.99990000000000001</v>
      </c>
    </row>
    <row r="13" spans="1:19" ht="15" customHeight="1" x14ac:dyDescent="0.2">
      <c r="A13" s="15">
        <f>IF(OR(tbAvaliacaoSLA[[#This Row],[Sistema/serviço]]="",A12=0),"",A12)</f>
        <v>46204</v>
      </c>
      <c r="B13" s="15"/>
      <c r="C13" s="16" t="s">
        <v>117</v>
      </c>
      <c r="D13" s="17">
        <v>0.99990000000000001</v>
      </c>
      <c r="E13" s="18">
        <f>IF(tbAvaliacaoSLA[[#This Row],[Competência]]="","",DAY(EOMONTH(tbAvaliacaoSLA[[#This Row],[Competência]],0))*24)</f>
        <v>744</v>
      </c>
      <c r="F13" s="19">
        <v>0</v>
      </c>
      <c r="G13" s="19">
        <v>0</v>
      </c>
      <c r="H13" s="20">
        <f>IF(OR(E13="",D13=""),"",E13*D13)</f>
        <v>743.92560000000003</v>
      </c>
      <c r="I13" s="21">
        <f>IFERROR(IF(OR(E13="",F13="",G13=""),"",E13-F13-G13),"")</f>
        <v>744</v>
      </c>
      <c r="J13" s="21">
        <f>IF(OR(H13="",F13="",G13=""),"",H13-F13-G13)</f>
        <v>743.92560000000003</v>
      </c>
      <c r="K13" s="24">
        <f>IFERROR(J13/I13,"")</f>
        <v>0.99990000000000001</v>
      </c>
      <c r="L13" s="23">
        <f>IF(tbAvaliacaoSLA[[#This Row],[Competência]]="","",Parâmetros!$B$4)</f>
        <v>0.99</v>
      </c>
      <c r="M13" s="24">
        <f>IF(K13="","",MAX(0,L13-K13))</f>
        <v>0</v>
      </c>
      <c r="N13" s="25">
        <f>IF(M13="","",IF(Parâmetros!$B$7="INICIADA",ROUNDUP(M13/Parâmetros!$B$5,0),ROUNDDOWN(M13/Parâmetros!$B$5,0)))</f>
        <v>0</v>
      </c>
      <c r="O13" s="25">
        <f>IF(N13="","",N13*Parâmetros!$B$6)</f>
        <v>0</v>
      </c>
      <c r="P13" s="26" t="str">
        <f>IF(K13="","",IF(OR(I13&lt;=0,J13&lt;0,J13&gt;I13),"REVISAR DADOS",IF(K13&gt;=L13,"ATENDIDO","NÃO ATENDIDO")))</f>
        <v>ATENDIDO</v>
      </c>
      <c r="Q13" s="16"/>
      <c r="S13" s="27">
        <f>tbAvaliacaoSLA[[#This Row],[Disponibilidade (Fornecedor)]]</f>
        <v>0.99990000000000001</v>
      </c>
    </row>
    <row r="14" spans="1:19" ht="15" customHeight="1" x14ac:dyDescent="0.2">
      <c r="A14" s="15">
        <f>IF(OR(tbAvaliacaoSLA[[#This Row],[Sistema/serviço]]="",A13=0),"",A13)</f>
        <v>46204</v>
      </c>
      <c r="B14" s="15"/>
      <c r="C14" s="16" t="s">
        <v>102</v>
      </c>
      <c r="D14" s="17">
        <v>0.9355</v>
      </c>
      <c r="E14" s="18">
        <f>IF(tbAvaliacaoSLA[[#This Row],[Competência]]="","",DAY(EOMONTH(tbAvaliacaoSLA[[#This Row],[Competência]],0))*24)</f>
        <v>744</v>
      </c>
      <c r="F14" s="19">
        <v>0</v>
      </c>
      <c r="G14" s="19">
        <v>0</v>
      </c>
      <c r="H14" s="20">
        <f>IF(OR(E14="",D14=""),"",E14*D14)</f>
        <v>696.01199999999994</v>
      </c>
      <c r="I14" s="21">
        <f>IFERROR(IF(OR(E14="",F14="",G14=""),"",E14-F14-G14),"")</f>
        <v>744</v>
      </c>
      <c r="J14" s="21">
        <f>IF(OR(H14="",F14="",G14=""),"",H14-F14-G14)</f>
        <v>696.01199999999994</v>
      </c>
      <c r="K14" s="24">
        <f>IFERROR(J14/I14,"")</f>
        <v>0.93549999999999989</v>
      </c>
      <c r="L14" s="23">
        <f>IF(tbAvaliacaoSLA[[#This Row],[Competência]]="","",Parâmetros!$B$4)</f>
        <v>0.99</v>
      </c>
      <c r="M14" s="24">
        <f>IF(K14="","",MAX(0,L14-K14))</f>
        <v>5.4500000000000104E-2</v>
      </c>
      <c r="N14" s="25">
        <f>IF(M14="","",IF(Parâmetros!$B$7="INICIADA",ROUNDUP(M14/Parâmetros!$B$5,0),ROUNDDOWN(M14/Parâmetros!$B$5,0)))</f>
        <v>55</v>
      </c>
      <c r="O14" s="25">
        <f>IF(N14="","",N14*Parâmetros!$B$6)</f>
        <v>13750</v>
      </c>
      <c r="P14" s="26" t="str">
        <f>IF(K14="","",IF(OR(I14&lt;=0,J14&lt;0,J14&gt;I14),"REVISAR DADOS",IF(K14&gt;=L14,"ATENDIDO","NÃO ATENDIDO")))</f>
        <v>NÃO ATENDIDO</v>
      </c>
      <c r="Q14" s="28"/>
      <c r="S14" s="27">
        <f>tbAvaliacaoSLA[[#This Row],[Disponibilidade (Fornecedor)]]</f>
        <v>0.9355</v>
      </c>
    </row>
    <row r="15" spans="1:19" ht="15" customHeight="1" x14ac:dyDescent="0.2">
      <c r="A15" s="15">
        <f>IF(OR(tbAvaliacaoSLA[[#This Row],[Sistema/serviço]]="",A14=0),"",A14)</f>
        <v>46204</v>
      </c>
      <c r="B15" s="15"/>
      <c r="C15" s="16" t="s">
        <v>118</v>
      </c>
      <c r="D15" s="17">
        <v>0.99990000000000001</v>
      </c>
      <c r="E15" s="18">
        <f>IF(tbAvaliacaoSLA[[#This Row],[Competência]]="","",DAY(EOMONTH(tbAvaliacaoSLA[[#This Row],[Competência]],0))*24)</f>
        <v>744</v>
      </c>
      <c r="F15" s="19">
        <v>0</v>
      </c>
      <c r="G15" s="19">
        <v>0</v>
      </c>
      <c r="H15" s="20">
        <f>IF(OR(E15="",D15=""),"",E15*D15)</f>
        <v>743.92560000000003</v>
      </c>
      <c r="I15" s="21">
        <f>IFERROR(IF(OR(E15="",F15="",G15=""),"",E15-F15-G15),"")</f>
        <v>744</v>
      </c>
      <c r="J15" s="21">
        <f>IF(OR(H15="",F15="",G15=""),"",H15-F15-G15)</f>
        <v>743.92560000000003</v>
      </c>
      <c r="K15" s="24">
        <f>IFERROR(J15/I15,"")</f>
        <v>0.99990000000000001</v>
      </c>
      <c r="L15" s="23">
        <f>IF(tbAvaliacaoSLA[[#This Row],[Competência]]="","",Parâmetros!$B$4)</f>
        <v>0.99</v>
      </c>
      <c r="M15" s="24">
        <f>IF(K15="","",MAX(0,L15-K15))</f>
        <v>0</v>
      </c>
      <c r="N15" s="25">
        <f>IF(M15="","",IF(Parâmetros!$B$7="INICIADA",ROUNDUP(M15/Parâmetros!$B$5,0),ROUNDDOWN(M15/Parâmetros!$B$5,0)))</f>
        <v>0</v>
      </c>
      <c r="O15" s="25">
        <f>IF(N15="","",N15*Parâmetros!$B$6)</f>
        <v>0</v>
      </c>
      <c r="P15" s="26" t="str">
        <f>IF(K15="","",IF(OR(I15&lt;=0,J15&lt;0,J15&gt;I15),"REVISAR DADOS",IF(K15&gt;=L15,"ATENDIDO","NÃO ATENDIDO")))</f>
        <v>ATENDIDO</v>
      </c>
      <c r="Q15" s="16"/>
      <c r="S15" s="27">
        <f>tbAvaliacaoSLA[[#This Row],[Disponibilidade (Fornecedor)]]</f>
        <v>0.99990000000000001</v>
      </c>
    </row>
    <row r="16" spans="1:19" ht="15" customHeight="1" x14ac:dyDescent="0.2">
      <c r="A16" s="15">
        <f>IF(OR(tbAvaliacaoSLA[[#This Row],[Sistema/serviço]]="",A15=0),"",A15)</f>
        <v>46204</v>
      </c>
      <c r="B16" s="15"/>
      <c r="C16" s="16" t="s">
        <v>100</v>
      </c>
      <c r="D16" s="17">
        <v>1</v>
      </c>
      <c r="E16" s="18">
        <f>IF(tbAvaliacaoSLA[[#This Row],[Competência]]="","",DAY(EOMONTH(tbAvaliacaoSLA[[#This Row],[Competência]],0))*24)</f>
        <v>744</v>
      </c>
      <c r="F16" s="19">
        <v>0</v>
      </c>
      <c r="G16" s="19">
        <v>0</v>
      </c>
      <c r="H16" s="20">
        <f>IF(OR(E16="",D16=""),"",E16*D16)</f>
        <v>744</v>
      </c>
      <c r="I16" s="21">
        <f>IFERROR(IF(OR(E16="",F16="",G16=""),"",E16-F16-G16),"")</f>
        <v>744</v>
      </c>
      <c r="J16" s="21">
        <f>IF(OR(H16="",F16="",G16=""),"",H16-F16-G16)</f>
        <v>744</v>
      </c>
      <c r="K16" s="22">
        <f>IFERROR(J16/I16,"")</f>
        <v>1</v>
      </c>
      <c r="L16" s="23">
        <f>IF(tbAvaliacaoSLA[[#This Row],[Competência]]="","",Parâmetros!$B$4)</f>
        <v>0.99</v>
      </c>
      <c r="M16" s="24">
        <f>IF(K16="","",MAX(0,L16-K16))</f>
        <v>0</v>
      </c>
      <c r="N16" s="25">
        <f>IF(M16="","",IF(Parâmetros!$B$7="INICIADA",ROUNDUP(M16/Parâmetros!$B$5,0),ROUNDDOWN(M16/Parâmetros!$B$5,0)))</f>
        <v>0</v>
      </c>
      <c r="O16" s="25">
        <f>IF(N16="","",N16*Parâmetros!$B$6)</f>
        <v>0</v>
      </c>
      <c r="P16" s="26" t="str">
        <f>IF(K16="","",IF(OR(I16&lt;=0,J16&lt;0,J16&gt;I16),"REVISAR DADOS",IF(K16&gt;=L16,"ATENDIDO","NÃO ATENDIDO")))</f>
        <v>ATENDIDO</v>
      </c>
      <c r="Q16" s="28"/>
      <c r="S16" s="27">
        <f>tbAvaliacaoSLA[[#This Row],[Disponibilidade (Fornecedor)]]</f>
        <v>1</v>
      </c>
    </row>
    <row r="17" spans="1:19" ht="15" customHeight="1" x14ac:dyDescent="0.2">
      <c r="A17" s="15">
        <f>IF(OR(tbAvaliacaoSLA[[#This Row],[Sistema/serviço]]="",A16=0),"",A16)</f>
        <v>46204</v>
      </c>
      <c r="B17" s="15"/>
      <c r="C17" s="16" t="s">
        <v>103</v>
      </c>
      <c r="D17" s="17">
        <v>1</v>
      </c>
      <c r="E17" s="18">
        <f>IF(tbAvaliacaoSLA[[#This Row],[Competência]]="","",DAY(EOMONTH(tbAvaliacaoSLA[[#This Row],[Competência]],0))*24)</f>
        <v>744</v>
      </c>
      <c r="F17" s="19">
        <v>0</v>
      </c>
      <c r="G17" s="19">
        <v>0</v>
      </c>
      <c r="H17" s="20">
        <f>IF(OR(E17="",D17=""),"",E17*D17)</f>
        <v>744</v>
      </c>
      <c r="I17" s="21">
        <f>IFERROR(IF(OR(E17="",F17="",G17=""),"",E17-F17-G17),"")</f>
        <v>744</v>
      </c>
      <c r="J17" s="21">
        <f>IF(OR(H17="",F17="",G17=""),"",H17-F17-G17)</f>
        <v>744</v>
      </c>
      <c r="K17" s="22">
        <f>IFERROR(J17/I17,"")</f>
        <v>1</v>
      </c>
      <c r="L17" s="23">
        <f>IF(tbAvaliacaoSLA[[#This Row],[Competência]]="","",Parâmetros!$B$4)</f>
        <v>0.99</v>
      </c>
      <c r="M17" s="24">
        <f>IF(K17="","",MAX(0,L17-K17))</f>
        <v>0</v>
      </c>
      <c r="N17" s="25">
        <f>IF(M17="","",IF(Parâmetros!$B$7="INICIADA",ROUNDUP(M17/Parâmetros!$B$5,0),ROUNDDOWN(M17/Parâmetros!$B$5,0)))</f>
        <v>0</v>
      </c>
      <c r="O17" s="25">
        <f>IF(N17="","",N17*Parâmetros!$B$6)</f>
        <v>0</v>
      </c>
      <c r="P17" s="26" t="str">
        <f>IF(K17="","",IF(OR(I17&lt;=0,J17&lt;0,J17&gt;I17),"REVISAR DADOS",IF(K17&gt;=L17,"ATENDIDO","NÃO ATENDIDO")))</f>
        <v>ATENDIDO</v>
      </c>
      <c r="Q17" s="28"/>
      <c r="S17" s="27">
        <f>tbAvaliacaoSLA[[#This Row],[Disponibilidade (Fornecedor)]]</f>
        <v>1</v>
      </c>
    </row>
    <row r="18" spans="1:19" ht="15" customHeight="1" x14ac:dyDescent="0.2">
      <c r="A18" s="15">
        <f>IF(OR(tbAvaliacaoSLA[[#This Row],[Sistema/serviço]]="",A17=0),"",A17)</f>
        <v>46204</v>
      </c>
      <c r="B18" s="15"/>
      <c r="C18" s="16" t="s">
        <v>82</v>
      </c>
      <c r="D18" s="17">
        <v>0.99990000000000001</v>
      </c>
      <c r="E18" s="18">
        <f>IF(tbAvaliacaoSLA[[#This Row],[Competência]]="","",DAY(EOMONTH(tbAvaliacaoSLA[[#This Row],[Competência]],0))*24)</f>
        <v>744</v>
      </c>
      <c r="F18" s="19">
        <v>0</v>
      </c>
      <c r="G18" s="19">
        <v>0</v>
      </c>
      <c r="H18" s="20">
        <f>IF(OR(E18="",D18=""),"",E18*D18)</f>
        <v>743.92560000000003</v>
      </c>
      <c r="I18" s="21">
        <f>IFERROR(IF(OR(E18="",F18="",G18=""),"",E18-F18-G18),"")</f>
        <v>744</v>
      </c>
      <c r="J18" s="21">
        <f>IF(OR(H18="",F18="",G18=""),"",H18-F18-G18)</f>
        <v>743.92560000000003</v>
      </c>
      <c r="K18" s="22">
        <f>IFERROR(J18/I18,"")</f>
        <v>0.99990000000000001</v>
      </c>
      <c r="L18" s="23">
        <f>IF(tbAvaliacaoSLA[[#This Row],[Competência]]="","",Parâmetros!$B$4)</f>
        <v>0.99</v>
      </c>
      <c r="M18" s="24">
        <f>IF(K18="","",MAX(0,L18-K18))</f>
        <v>0</v>
      </c>
      <c r="N18" s="25">
        <f>IF(M18="","",IF(Parâmetros!$B$7="INICIADA",ROUNDUP(M18/Parâmetros!$B$5,0),ROUNDDOWN(M18/Parâmetros!$B$5,0)))</f>
        <v>0</v>
      </c>
      <c r="O18" s="25">
        <f>IF(N18="","",N18*Parâmetros!$B$6)</f>
        <v>0</v>
      </c>
      <c r="P18" s="26" t="str">
        <f>IF(K18="","",IF(OR(I18&lt;=0,J18&lt;0,J18&gt;I18),"REVISAR DADOS",IF(K18&gt;=L18,"ATENDIDO","NÃO ATENDIDO")))</f>
        <v>ATENDIDO</v>
      </c>
      <c r="Q18" s="16"/>
      <c r="S18" s="27">
        <f>tbAvaliacaoSLA[[#This Row],[Disponibilidade (Fornecedor)]]</f>
        <v>0.99990000000000001</v>
      </c>
    </row>
    <row r="19" spans="1:19" ht="15" customHeight="1" x14ac:dyDescent="0.2">
      <c r="A19" s="15">
        <f>IF(OR(tbAvaliacaoSLA[[#This Row],[Sistema/serviço]]="",A18=0),"",A18)</f>
        <v>46204</v>
      </c>
      <c r="B19" s="15"/>
      <c r="C19" s="16" t="s">
        <v>83</v>
      </c>
      <c r="D19" s="62">
        <v>1</v>
      </c>
      <c r="E19" s="18">
        <f>IF(tbAvaliacaoSLA[[#This Row],[Competência]]="","",DAY(EOMONTH(tbAvaliacaoSLA[[#This Row],[Competência]],0))*24)</f>
        <v>744</v>
      </c>
      <c r="F19" s="19">
        <v>0</v>
      </c>
      <c r="G19" s="19">
        <v>0</v>
      </c>
      <c r="H19" s="20">
        <f>IF(OR(E19="",D19=""),"",E19*D19)</f>
        <v>744</v>
      </c>
      <c r="I19" s="21">
        <f>IFERROR(IF(OR(E19="",F19="",G19=""),"",E19-F19-G19),"")</f>
        <v>744</v>
      </c>
      <c r="J19" s="21">
        <f>IF(OR(H19="",F19="",G19=""),"",H19-F19-G19)</f>
        <v>744</v>
      </c>
      <c r="K19" s="22">
        <f>IFERROR(J19/I19,"")</f>
        <v>1</v>
      </c>
      <c r="L19" s="23">
        <f>IF(tbAvaliacaoSLA[[#This Row],[Competência]]="","",Parâmetros!$B$4)</f>
        <v>0.99</v>
      </c>
      <c r="M19" s="24">
        <f>IF(K19="","",MAX(0,L19-K19))</f>
        <v>0</v>
      </c>
      <c r="N19" s="25">
        <f>IF(M19="","",IF(Parâmetros!$B$7="INICIADA",ROUNDUP(M19/Parâmetros!$B$5,0),ROUNDDOWN(M19/Parâmetros!$B$5,0)))</f>
        <v>0</v>
      </c>
      <c r="O19" s="25">
        <f>IF(N19="","",N19*Parâmetros!$B$6)</f>
        <v>0</v>
      </c>
      <c r="P19" s="26" t="str">
        <f>IF(K19="","",IF(OR(I19&lt;=0,J19&lt;0,J19&gt;I19),"REVISAR DADOS",IF(K19&gt;=L19,"ATENDIDO","NÃO ATENDIDO")))</f>
        <v>ATENDIDO</v>
      </c>
      <c r="Q19" s="28"/>
      <c r="S19" s="27">
        <f>tbAvaliacaoSLA[[#This Row],[Disponibilidade (Fornecedor)]]</f>
        <v>1</v>
      </c>
    </row>
    <row r="20" spans="1:19" ht="15" customHeight="1" x14ac:dyDescent="0.2">
      <c r="A20" s="15">
        <f>IF(OR(tbAvaliacaoSLA[[#This Row],[Sistema/serviço]]="",A19=0),"",A19)</f>
        <v>46204</v>
      </c>
      <c r="B20" s="15"/>
      <c r="C20" s="16" t="s">
        <v>84</v>
      </c>
      <c r="D20" s="63">
        <v>1</v>
      </c>
      <c r="E20" s="18">
        <f>IF(tbAvaliacaoSLA[[#This Row],[Competência]]="","",DAY(EOMONTH(tbAvaliacaoSLA[[#This Row],[Competência]],0))*24)</f>
        <v>744</v>
      </c>
      <c r="F20" s="19">
        <v>0</v>
      </c>
      <c r="G20" s="19">
        <v>0</v>
      </c>
      <c r="H20" s="20">
        <f>IF(OR(E20="",D20=""),"",E20*D20)</f>
        <v>744</v>
      </c>
      <c r="I20" s="21">
        <f>IFERROR(IF(OR(E20="",F20="",G20=""),"",E20-F20-G20),"")</f>
        <v>744</v>
      </c>
      <c r="J20" s="21">
        <f>IF(OR(H20="",F20="",G20=""),"",H20-F20-G20)</f>
        <v>744</v>
      </c>
      <c r="K20" s="24">
        <f>IFERROR(J20/I20,"")</f>
        <v>1</v>
      </c>
      <c r="L20" s="23">
        <f>IF(tbAvaliacaoSLA[[#This Row],[Competência]]="","",Parâmetros!$B$4)</f>
        <v>0.99</v>
      </c>
      <c r="M20" s="24">
        <f>IF(K20="","",MAX(0,L20-K20))</f>
        <v>0</v>
      </c>
      <c r="N20" s="25">
        <f>IF(M20="","",IF(Parâmetros!$B$7="INICIADA",ROUNDUP(M20/Parâmetros!$B$5,0),ROUNDDOWN(M20/Parâmetros!$B$5,0)))</f>
        <v>0</v>
      </c>
      <c r="O20" s="25">
        <f>IF(N20="","",N20*Parâmetros!$B$6)</f>
        <v>0</v>
      </c>
      <c r="P20" s="26" t="str">
        <f>IF(K20="","",IF(OR(I20&lt;=0,J20&lt;0,J20&gt;I20),"REVISAR DADOS",IF(K20&gt;=L20,"ATENDIDO","NÃO ATENDIDO")))</f>
        <v>ATENDIDO</v>
      </c>
      <c r="Q20" s="28"/>
      <c r="S20" s="27">
        <f>tbAvaliacaoSLA[[#This Row],[Disponibilidade (Fornecedor)]]</f>
        <v>1</v>
      </c>
    </row>
    <row r="21" spans="1:19" ht="15" customHeight="1" x14ac:dyDescent="0.2">
      <c r="A21" s="15">
        <f>IF(OR(tbAvaliacaoSLA[[#This Row],[Sistema/serviço]]="",A20=0),"",A20)</f>
        <v>46204</v>
      </c>
      <c r="B21" s="15"/>
      <c r="C21" s="16" t="s">
        <v>85</v>
      </c>
      <c r="D21" s="63">
        <v>0.99990000000000001</v>
      </c>
      <c r="E21" s="18">
        <f>IF(tbAvaliacaoSLA[[#This Row],[Competência]]="","",DAY(EOMONTH(tbAvaliacaoSLA[[#This Row],[Competência]],0))*24)</f>
        <v>744</v>
      </c>
      <c r="F21" s="19">
        <v>0</v>
      </c>
      <c r="G21" s="19">
        <v>0</v>
      </c>
      <c r="H21" s="20">
        <f>IF(OR(E21="",D21=""),"",E21*D21)</f>
        <v>743.92560000000003</v>
      </c>
      <c r="I21" s="21">
        <f>IFERROR(IF(OR(E21="",F21="",G21=""),"",E21-F21-G21),"")</f>
        <v>744</v>
      </c>
      <c r="J21" s="21">
        <f>IF(OR(H21="",F21="",G21=""),"",H21-F21-G21)</f>
        <v>743.92560000000003</v>
      </c>
      <c r="K21" s="24">
        <f>IFERROR(J21/I21,"")</f>
        <v>0.99990000000000001</v>
      </c>
      <c r="L21" s="23">
        <f>IF(tbAvaliacaoSLA[[#This Row],[Competência]]="","",Parâmetros!$B$4)</f>
        <v>0.99</v>
      </c>
      <c r="M21" s="24">
        <f>IF(K21="","",MAX(0,L21-K21))</f>
        <v>0</v>
      </c>
      <c r="N21" s="25">
        <f>IF(M21="","",IF(Parâmetros!$B$7="INICIADA",ROUNDUP(M21/Parâmetros!$B$5,0),ROUNDDOWN(M21/Parâmetros!$B$5,0)))</f>
        <v>0</v>
      </c>
      <c r="O21" s="25">
        <f>IF(N21="","",N21*Parâmetros!$B$6)</f>
        <v>0</v>
      </c>
      <c r="P21" s="26" t="str">
        <f>IF(K21="","",IF(OR(I21&lt;=0,J21&lt;0,J21&gt;I21),"REVISAR DADOS",IF(K21&gt;=L21,"ATENDIDO","NÃO ATENDIDO")))</f>
        <v>ATENDIDO</v>
      </c>
      <c r="Q21" s="16"/>
      <c r="S21" s="27">
        <f>tbAvaliacaoSLA[[#This Row],[Disponibilidade (Fornecedor)]]</f>
        <v>0.99990000000000001</v>
      </c>
    </row>
    <row r="22" spans="1:19" ht="15" customHeight="1" x14ac:dyDescent="0.2">
      <c r="A22" s="15">
        <f>IF(OR(tbAvaliacaoSLA[[#This Row],[Sistema/serviço]]="",A21=0),"",A21)</f>
        <v>46204</v>
      </c>
      <c r="B22" s="15"/>
      <c r="C22" s="16" t="s">
        <v>86</v>
      </c>
      <c r="D22" s="63">
        <v>0.99990000000000001</v>
      </c>
      <c r="E22" s="18">
        <f>IF(tbAvaliacaoSLA[[#This Row],[Competência]]="","",DAY(EOMONTH(tbAvaliacaoSLA[[#This Row],[Competência]],0))*24)</f>
        <v>744</v>
      </c>
      <c r="F22" s="19">
        <v>0</v>
      </c>
      <c r="G22" s="19">
        <v>0</v>
      </c>
      <c r="H22" s="20">
        <f>IF(OR(E22="",D22=""),"",E22*D22)</f>
        <v>743.92560000000003</v>
      </c>
      <c r="I22" s="21">
        <f>IFERROR(IF(OR(E22="",F22="",G22=""),"",E22-F22-G22),"")</f>
        <v>744</v>
      </c>
      <c r="J22" s="21">
        <f>IF(OR(H22="",F22="",G22=""),"",H22-F22-G22)</f>
        <v>743.92560000000003</v>
      </c>
      <c r="K22" s="24">
        <f>IFERROR(J22/I22,"")</f>
        <v>0.99990000000000001</v>
      </c>
      <c r="L22" s="23">
        <f>IF(tbAvaliacaoSLA[[#This Row],[Competência]]="","",Parâmetros!$B$4)</f>
        <v>0.99</v>
      </c>
      <c r="M22" s="24">
        <f>IF(K22="","",MAX(0,L22-K22))</f>
        <v>0</v>
      </c>
      <c r="N22" s="25">
        <f>IF(M22="","",IF(Parâmetros!$B$7="INICIADA",ROUNDUP(M22/Parâmetros!$B$5,0),ROUNDDOWN(M22/Parâmetros!$B$5,0)))</f>
        <v>0</v>
      </c>
      <c r="O22" s="25">
        <f>IF(N22="","",N22*Parâmetros!$B$6)</f>
        <v>0</v>
      </c>
      <c r="P22" s="26" t="str">
        <f>IF(K22="","",IF(OR(I22&lt;=0,J22&lt;0,J22&gt;I22),"REVISAR DADOS",IF(K22&gt;=L22,"ATENDIDO","NÃO ATENDIDO")))</f>
        <v>ATENDIDO</v>
      </c>
      <c r="Q22" s="16"/>
    </row>
    <row r="23" spans="1:19" ht="15" customHeight="1" x14ac:dyDescent="0.2">
      <c r="A23" s="15">
        <f>IF(OR(tbAvaliacaoSLA[[#This Row],[Sistema/serviço]]="",A22=0),"",A22)</f>
        <v>46204</v>
      </c>
      <c r="B23" s="15"/>
      <c r="C23" s="16" t="s">
        <v>87</v>
      </c>
      <c r="D23" s="63">
        <v>0.99990000000000001</v>
      </c>
      <c r="E23" s="18">
        <f>IF(tbAvaliacaoSLA[[#This Row],[Competência]]="","",DAY(EOMONTH(tbAvaliacaoSLA[[#This Row],[Competência]],0))*24)</f>
        <v>744</v>
      </c>
      <c r="F23" s="19">
        <v>0</v>
      </c>
      <c r="G23" s="19">
        <v>0</v>
      </c>
      <c r="H23" s="20">
        <f>IF(OR(E23="",D23=""),"",E23*D23)</f>
        <v>743.92560000000003</v>
      </c>
      <c r="I23" s="21">
        <f>IFERROR(IF(OR(E23="",F23="",G23=""),"",E23-F23-G23),"")</f>
        <v>744</v>
      </c>
      <c r="J23" s="21">
        <f>IF(OR(H23="",F23="",G23=""),"",H23-F23-G23)</f>
        <v>743.92560000000003</v>
      </c>
      <c r="K23" s="24">
        <f>IFERROR(J23/I23,"")</f>
        <v>0.99990000000000001</v>
      </c>
      <c r="L23" s="23">
        <f>IF(tbAvaliacaoSLA[[#This Row],[Competência]]="","",Parâmetros!$B$4)</f>
        <v>0.99</v>
      </c>
      <c r="M23" s="24">
        <f>IF(K23="","",MAX(0,L23-K23))</f>
        <v>0</v>
      </c>
      <c r="N23" s="25">
        <f>IF(M23="","",IF(Parâmetros!$B$7="INICIADA",ROUNDUP(M23/Parâmetros!$B$5,0),ROUNDDOWN(M23/Parâmetros!$B$5,0)))</f>
        <v>0</v>
      </c>
      <c r="O23" s="25">
        <f>IF(N23="","",N23*Parâmetros!$B$6)</f>
        <v>0</v>
      </c>
      <c r="P23" s="26" t="str">
        <f>IF(K23="","",IF(OR(I23&lt;=0,J23&lt;0,J23&gt;I23),"REVISAR DADOS",IF(K23&gt;=L23,"ATENDIDO","NÃO ATENDIDO")))</f>
        <v>ATENDIDO</v>
      </c>
      <c r="Q23" s="16"/>
    </row>
    <row r="24" spans="1:19" ht="15" customHeight="1" x14ac:dyDescent="0.2">
      <c r="A24" s="15">
        <f>IF(OR(tbAvaliacaoSLA[[#This Row],[Sistema/serviço]]="",A23=0),"",A23)</f>
        <v>46204</v>
      </c>
      <c r="B24" s="29"/>
      <c r="C24" s="16" t="s">
        <v>20</v>
      </c>
      <c r="D24" s="63">
        <v>0.96699999999999997</v>
      </c>
      <c r="E24" s="18">
        <f>IF(tbAvaliacaoSLA[[#This Row],[Competência]]="","",DAY(EOMONTH(tbAvaliacaoSLA[[#This Row],[Competência]],0))*24)</f>
        <v>744</v>
      </c>
      <c r="F24" s="19">
        <v>0</v>
      </c>
      <c r="G24" s="19">
        <v>0</v>
      </c>
      <c r="H24" s="20">
        <f>IF(OR(E24="",D24=""),"",E24*D24)</f>
        <v>719.44799999999998</v>
      </c>
      <c r="I24" s="21">
        <f>IFERROR(IF(OR(E24="",F24="",G24=""),"",E24-F24-G24),"")</f>
        <v>744</v>
      </c>
      <c r="J24" s="21">
        <f>IF(OR(H24="",F24="",G24=""),"",H24-F24-G24)</f>
        <v>719.44799999999998</v>
      </c>
      <c r="K24" s="24">
        <f>IFERROR(J24/I24,"")</f>
        <v>0.96699999999999997</v>
      </c>
      <c r="L24" s="23">
        <f>IF(tbAvaliacaoSLA[[#This Row],[Competência]]="","",Parâmetros!$B$4)</f>
        <v>0.99</v>
      </c>
      <c r="M24" s="24">
        <f>IF(K24="","",MAX(0,L24-K24))</f>
        <v>2.300000000000002E-2</v>
      </c>
      <c r="N24" s="25">
        <f>IF(M24="","",IF(Parâmetros!$B$7="INICIADA",ROUNDUP(M24/Parâmetros!$B$5,0),ROUNDDOWN(M24/Parâmetros!$B$5,0)))</f>
        <v>23</v>
      </c>
      <c r="O24" s="25">
        <f>IF(N24="","",N24*Parâmetros!$B$6)</f>
        <v>5750</v>
      </c>
      <c r="P24" s="26" t="str">
        <f>IF(K24="","",IF(OR(I24&lt;=0,J24&lt;0,J24&gt;I24),"REVISAR DADOS",IF(K24&gt;=L24,"ATENDIDO","NÃO ATENDIDO")))</f>
        <v>NÃO ATENDIDO</v>
      </c>
      <c r="Q24" s="16"/>
    </row>
    <row r="25" spans="1:19" ht="15" customHeight="1" x14ac:dyDescent="0.2">
      <c r="A25" s="15">
        <f>IF(OR(tbAvaliacaoSLA[[#This Row],[Sistema/serviço]]="",A24=0),"",A24)</f>
        <v>46204</v>
      </c>
      <c r="B25" s="29"/>
      <c r="C25" s="16" t="s">
        <v>88</v>
      </c>
      <c r="D25" s="63">
        <v>0.99990000000000001</v>
      </c>
      <c r="E25" s="18">
        <f>IF(tbAvaliacaoSLA[[#This Row],[Competência]]="","",DAY(EOMONTH(tbAvaliacaoSLA[[#This Row],[Competência]],0))*24)</f>
        <v>744</v>
      </c>
      <c r="F25" s="19">
        <v>0</v>
      </c>
      <c r="G25" s="19">
        <v>0</v>
      </c>
      <c r="H25" s="20">
        <f>IF(OR(E25="",D25=""),"",E25*D25)</f>
        <v>743.92560000000003</v>
      </c>
      <c r="I25" s="21">
        <f>IFERROR(IF(OR(E25="",F25="",G25=""),"",E25-F25-G25),"")</f>
        <v>744</v>
      </c>
      <c r="J25" s="21">
        <f>IF(OR(H25="",F25="",G25=""),"",H25-F25-G25)</f>
        <v>743.92560000000003</v>
      </c>
      <c r="K25" s="24">
        <f>IFERROR(J25/I25,"")</f>
        <v>0.99990000000000001</v>
      </c>
      <c r="L25" s="23">
        <f>IF(tbAvaliacaoSLA[[#This Row],[Competência]]="","",Parâmetros!$B$4)</f>
        <v>0.99</v>
      </c>
      <c r="M25" s="24">
        <f>IF(K25="","",MAX(0,L25-K25))</f>
        <v>0</v>
      </c>
      <c r="N25" s="25">
        <f>IF(M25="","",IF(Parâmetros!$B$7="INICIADA",ROUNDUP(M25/Parâmetros!$B$5,0),ROUNDDOWN(M25/Parâmetros!$B$5,0)))</f>
        <v>0</v>
      </c>
      <c r="O25" s="25">
        <f>IF(N25="","",N25*Parâmetros!$B$6)</f>
        <v>0</v>
      </c>
      <c r="P25" s="26" t="str">
        <f>IF(K25="","",IF(OR(I25&lt;=0,J25&lt;0,J25&gt;I25),"REVISAR DADOS",IF(K25&gt;=L25,"ATENDIDO","NÃO ATENDIDO")))</f>
        <v>ATENDIDO</v>
      </c>
      <c r="Q25" s="16"/>
    </row>
    <row r="26" spans="1:19" ht="15" customHeight="1" x14ac:dyDescent="0.2">
      <c r="A26" s="15">
        <f>IF(OR(tbAvaliacaoSLA[[#This Row],[Sistema/serviço]]="",A25=0),"",A25)</f>
        <v>46204</v>
      </c>
      <c r="B26" s="29"/>
      <c r="C26" s="16" t="s">
        <v>89</v>
      </c>
      <c r="D26" s="63">
        <v>1</v>
      </c>
      <c r="E26" s="18">
        <f>IF(tbAvaliacaoSLA[[#This Row],[Competência]]="","",DAY(EOMONTH(tbAvaliacaoSLA[[#This Row],[Competência]],0))*24)</f>
        <v>744</v>
      </c>
      <c r="F26" s="19">
        <v>0</v>
      </c>
      <c r="G26" s="19">
        <v>0</v>
      </c>
      <c r="H26" s="20">
        <f>IF(OR(E26="",D26=""),"",E26*D26)</f>
        <v>744</v>
      </c>
      <c r="I26" s="21">
        <f>IFERROR(IF(OR(E26="",F26="",G26=""),"",E26-F26-G26),"")</f>
        <v>744</v>
      </c>
      <c r="J26" s="21">
        <f>IF(OR(H26="",F26="",G26=""),"",H26-F26-G26)</f>
        <v>744</v>
      </c>
      <c r="K26" s="24">
        <f>IFERROR(J26/I26,"")</f>
        <v>1</v>
      </c>
      <c r="L26" s="23">
        <f>IF(tbAvaliacaoSLA[[#This Row],[Competência]]="","",Parâmetros!$B$4)</f>
        <v>0.99</v>
      </c>
      <c r="M26" s="24">
        <f>IF(K26="","",MAX(0,L26-K26))</f>
        <v>0</v>
      </c>
      <c r="N26" s="25">
        <f>IF(M26="","",IF(Parâmetros!$B$7="INICIADA",ROUNDUP(M26/Parâmetros!$B$5,0),ROUNDDOWN(M26/Parâmetros!$B$5,0)))</f>
        <v>0</v>
      </c>
      <c r="O26" s="25">
        <f>IF(N26="","",N26*Parâmetros!$B$6)</f>
        <v>0</v>
      </c>
      <c r="P26" s="26" t="str">
        <f>IF(K26="","",IF(OR(I26&lt;=0,J26&lt;0,J26&gt;I26),"REVISAR DADOS",IF(K26&gt;=L26,"ATENDIDO","NÃO ATENDIDO")))</f>
        <v>ATENDIDO</v>
      </c>
      <c r="Q26" s="16"/>
    </row>
    <row r="27" spans="1:19" ht="15" customHeight="1" x14ac:dyDescent="0.2">
      <c r="A27" s="15">
        <f>IF(OR(tbAvaliacaoSLA[[#This Row],[Sistema/serviço]]="",A26=0),"",A26)</f>
        <v>46204</v>
      </c>
      <c r="B27" s="29"/>
      <c r="C27" s="16" t="s">
        <v>90</v>
      </c>
      <c r="D27" s="63">
        <v>1</v>
      </c>
      <c r="E27" s="18">
        <f>IF(tbAvaliacaoSLA[[#This Row],[Competência]]="","",DAY(EOMONTH(tbAvaliacaoSLA[[#This Row],[Competência]],0))*24)</f>
        <v>744</v>
      </c>
      <c r="F27" s="19">
        <v>0</v>
      </c>
      <c r="G27" s="19">
        <v>0</v>
      </c>
      <c r="H27" s="20">
        <f>IF(OR(E27="",D27=""),"",E27*D27)</f>
        <v>744</v>
      </c>
      <c r="I27" s="21">
        <f>IFERROR(IF(OR(E27="",F27="",G27=""),"",E27-F27-G27),"")</f>
        <v>744</v>
      </c>
      <c r="J27" s="21">
        <f>IF(OR(H27="",F27="",G27=""),"",H27-F27-G27)</f>
        <v>744</v>
      </c>
      <c r="K27" s="24">
        <f>IFERROR(J27/I27,"")</f>
        <v>1</v>
      </c>
      <c r="L27" s="23">
        <f>IF(tbAvaliacaoSLA[[#This Row],[Competência]]="","",Parâmetros!$B$4)</f>
        <v>0.99</v>
      </c>
      <c r="M27" s="24">
        <f>IF(K27="","",MAX(0,L27-K27))</f>
        <v>0</v>
      </c>
      <c r="N27" s="25">
        <f>IF(M27="","",IF(Parâmetros!$B$7="INICIADA",ROUNDUP(M27/Parâmetros!$B$5,0),ROUNDDOWN(M27/Parâmetros!$B$5,0)))</f>
        <v>0</v>
      </c>
      <c r="O27" s="25">
        <f>IF(N27="","",N27*Parâmetros!$B$6)</f>
        <v>0</v>
      </c>
      <c r="P27" s="26" t="str">
        <f>IF(K27="","",IF(OR(I27&lt;=0,J27&lt;0,J27&gt;I27),"REVISAR DADOS",IF(K27&gt;=L27,"ATENDIDO","NÃO ATENDIDO")))</f>
        <v>ATENDIDO</v>
      </c>
      <c r="Q27" s="16"/>
    </row>
    <row r="28" spans="1:19" ht="15" customHeight="1" x14ac:dyDescent="0.2">
      <c r="A28" s="15">
        <f>IF(OR(tbAvaliacaoSLA[[#This Row],[Sistema/serviço]]="",A27=0),"",A27)</f>
        <v>46204</v>
      </c>
      <c r="B28" s="29"/>
      <c r="C28" s="16" t="s">
        <v>112</v>
      </c>
      <c r="D28" s="63">
        <v>0.99919999999999998</v>
      </c>
      <c r="E28" s="18">
        <f>IF(tbAvaliacaoSLA[[#This Row],[Competência]]="","",DAY(EOMONTH(tbAvaliacaoSLA[[#This Row],[Competência]],0))*24)</f>
        <v>744</v>
      </c>
      <c r="F28" s="19">
        <v>0</v>
      </c>
      <c r="G28" s="19">
        <v>0</v>
      </c>
      <c r="H28" s="20">
        <f>IF(OR(E28="",D28=""),"",E28*D28)</f>
        <v>743.40480000000002</v>
      </c>
      <c r="I28" s="21">
        <f>IFERROR(IF(OR(E28="",F28="",G28=""),"",E28-F28-G28),"")</f>
        <v>744</v>
      </c>
      <c r="J28" s="21">
        <f>IF(OR(H28="",F28="",G28=""),"",H28-F28-G28)</f>
        <v>743.40480000000002</v>
      </c>
      <c r="K28" s="24">
        <f>IFERROR(J28/I28,"")</f>
        <v>0.99919999999999998</v>
      </c>
      <c r="L28" s="23">
        <f>IF(tbAvaliacaoSLA[[#This Row],[Competência]]="","",Parâmetros!$B$4)</f>
        <v>0.99</v>
      </c>
      <c r="M28" s="24">
        <f>IF(K28="","",MAX(0,L28-K28))</f>
        <v>0</v>
      </c>
      <c r="N28" s="25">
        <f>IF(M28="","",IF(Parâmetros!$B$7="INICIADA",ROUNDUP(M28/Parâmetros!$B$5,0),ROUNDDOWN(M28/Parâmetros!$B$5,0)))</f>
        <v>0</v>
      </c>
      <c r="O28" s="25">
        <f>IF(N28="","",N28*Parâmetros!$B$6)</f>
        <v>0</v>
      </c>
      <c r="P28" s="26" t="str">
        <f>IF(K28="","",IF(OR(I28&lt;=0,J28&lt;0,J28&gt;I28),"REVISAR DADOS",IF(K28&gt;=L28,"ATENDIDO","NÃO ATENDIDO")))</f>
        <v>ATENDIDO</v>
      </c>
      <c r="Q28" s="16"/>
    </row>
    <row r="29" spans="1:19" ht="15" customHeight="1" x14ac:dyDescent="0.2">
      <c r="A29" s="15">
        <f>IF(OR(tbAvaliacaoSLA[[#This Row],[Sistema/serviço]]="",A28=0),"",A28)</f>
        <v>46204</v>
      </c>
      <c r="B29" s="29"/>
      <c r="C29" s="16" t="s">
        <v>119</v>
      </c>
      <c r="D29" s="63">
        <v>0.99990000000000001</v>
      </c>
      <c r="E29" s="18">
        <f>IF(tbAvaliacaoSLA[[#This Row],[Competência]]="","",DAY(EOMONTH(tbAvaliacaoSLA[[#This Row],[Competência]],0))*24)</f>
        <v>744</v>
      </c>
      <c r="F29" s="19">
        <v>0</v>
      </c>
      <c r="G29" s="19">
        <v>0</v>
      </c>
      <c r="H29" s="20">
        <f>IF(OR(E29="",D29=""),"",E29*D29)</f>
        <v>743.92560000000003</v>
      </c>
      <c r="I29" s="21">
        <f>IFERROR(IF(OR(E29="",F29="",G29=""),"",E29-F29-G29),"")</f>
        <v>744</v>
      </c>
      <c r="J29" s="21">
        <f>IF(OR(H29="",F29="",G29=""),"",H29-F29-G29)</f>
        <v>743.92560000000003</v>
      </c>
      <c r="K29" s="24">
        <f>IFERROR(J29/I29,"")</f>
        <v>0.99990000000000001</v>
      </c>
      <c r="L29" s="23">
        <f>IF(tbAvaliacaoSLA[[#This Row],[Competência]]="","",Parâmetros!$B$4)</f>
        <v>0.99</v>
      </c>
      <c r="M29" s="24">
        <f>IF(K29="","",MAX(0,L29-K29))</f>
        <v>0</v>
      </c>
      <c r="N29" s="25">
        <f>IF(M29="","",IF(Parâmetros!$B$7="INICIADA",ROUNDUP(M29/Parâmetros!$B$5,0),ROUNDDOWN(M29/Parâmetros!$B$5,0)))</f>
        <v>0</v>
      </c>
      <c r="O29" s="25">
        <f>IF(N29="","",N29*Parâmetros!$B$6)</f>
        <v>0</v>
      </c>
      <c r="P29" s="26" t="str">
        <f>IF(K29="","",IF(OR(I29&lt;=0,J29&lt;0,J29&gt;I29),"REVISAR DADOS",IF(K29&gt;=L29,"ATENDIDO","NÃO ATENDIDO")))</f>
        <v>ATENDIDO</v>
      </c>
      <c r="Q29" s="16"/>
    </row>
    <row r="30" spans="1:19" ht="15" customHeight="1" x14ac:dyDescent="0.2">
      <c r="A30" s="15">
        <f>IF(OR(tbAvaliacaoSLA[[#This Row],[Sistema/serviço]]="",A29=0),"",A29)</f>
        <v>46204</v>
      </c>
      <c r="B30" s="29"/>
      <c r="C30" s="16" t="s">
        <v>109</v>
      </c>
      <c r="D30" s="63">
        <v>0.99980000000000002</v>
      </c>
      <c r="E30" s="18">
        <f>IF(tbAvaliacaoSLA[[#This Row],[Competência]]="","",DAY(EOMONTH(tbAvaliacaoSLA[[#This Row],[Competência]],0))*24)</f>
        <v>744</v>
      </c>
      <c r="F30" s="19">
        <v>0</v>
      </c>
      <c r="G30" s="19">
        <v>0</v>
      </c>
      <c r="H30" s="20">
        <f>IF(OR(E30="",D30=""),"",E30*D30)</f>
        <v>743.85120000000006</v>
      </c>
      <c r="I30" s="21">
        <f>IFERROR(IF(OR(E30="",F30="",G30=""),"",E30-F30-G30),"")</f>
        <v>744</v>
      </c>
      <c r="J30" s="21">
        <f>IF(OR(H30="",F30="",G30=""),"",H30-F30-G30)</f>
        <v>743.85120000000006</v>
      </c>
      <c r="K30" s="24">
        <f>IFERROR(J30/I30,"")</f>
        <v>0.99980000000000013</v>
      </c>
      <c r="L30" s="23">
        <f>IF(tbAvaliacaoSLA[[#This Row],[Competência]]="","",Parâmetros!$B$4)</f>
        <v>0.99</v>
      </c>
      <c r="M30" s="24">
        <f>IF(K30="","",MAX(0,L30-K30))</f>
        <v>0</v>
      </c>
      <c r="N30" s="25">
        <f>IF(M30="","",IF(Parâmetros!$B$7="INICIADA",ROUNDUP(M30/Parâmetros!$B$5,0),ROUNDDOWN(M30/Parâmetros!$B$5,0)))</f>
        <v>0</v>
      </c>
      <c r="O30" s="25">
        <f>IF(N30="","",N30*Parâmetros!$B$6)</f>
        <v>0</v>
      </c>
      <c r="P30" s="26" t="str">
        <f>IF(K30="","",IF(OR(I30&lt;=0,J30&lt;0,J30&gt;I30),"REVISAR DADOS",IF(K30&gt;=L30,"ATENDIDO","NÃO ATENDIDO")))</f>
        <v>ATENDIDO</v>
      </c>
      <c r="Q30" s="16"/>
    </row>
    <row r="31" spans="1:19" ht="15" customHeight="1" x14ac:dyDescent="0.2">
      <c r="A31" s="15">
        <f>IF(OR(tbAvaliacaoSLA[[#This Row],[Sistema/serviço]]="",A30=0),"",A30)</f>
        <v>46204</v>
      </c>
      <c r="B31" s="29"/>
      <c r="C31" s="16" t="s">
        <v>104</v>
      </c>
      <c r="D31" s="63">
        <v>0.99990000000000001</v>
      </c>
      <c r="E31" s="18">
        <f>IF(tbAvaliacaoSLA[[#This Row],[Competência]]="","",DAY(EOMONTH(tbAvaliacaoSLA[[#This Row],[Competência]],0))*24)</f>
        <v>744</v>
      </c>
      <c r="F31" s="19">
        <v>0</v>
      </c>
      <c r="G31" s="19">
        <v>0</v>
      </c>
      <c r="H31" s="20">
        <f>IF(OR(E31="",D31=""),"",E31*D31)</f>
        <v>743.92560000000003</v>
      </c>
      <c r="I31" s="21">
        <f>IFERROR(IF(OR(E31="",F31="",G31=""),"",E31-F31-G31),"")</f>
        <v>744</v>
      </c>
      <c r="J31" s="21">
        <f>IF(OR(H31="",F31="",G31=""),"",H31-F31-G31)</f>
        <v>743.92560000000003</v>
      </c>
      <c r="K31" s="24">
        <f>IFERROR(J31/I31,"")</f>
        <v>0.99990000000000001</v>
      </c>
      <c r="L31" s="23">
        <f>IF(tbAvaliacaoSLA[[#This Row],[Competência]]="","",Parâmetros!$B$4)</f>
        <v>0.99</v>
      </c>
      <c r="M31" s="24">
        <f>IF(K31="","",MAX(0,L31-K31))</f>
        <v>0</v>
      </c>
      <c r="N31" s="25">
        <f>IF(M31="","",IF(Parâmetros!$B$7="INICIADA",ROUNDUP(M31/Parâmetros!$B$5,0),ROUNDDOWN(M31/Parâmetros!$B$5,0)))</f>
        <v>0</v>
      </c>
      <c r="O31" s="25">
        <f>IF(N31="","",N31*Parâmetros!$B$6)</f>
        <v>0</v>
      </c>
      <c r="P31" s="26" t="str">
        <f>IF(K31="","",IF(OR(I31&lt;=0,J31&lt;0,J31&gt;I31),"REVISAR DADOS",IF(K31&gt;=L31,"ATENDIDO","NÃO ATENDIDO")))</f>
        <v>ATENDIDO</v>
      </c>
      <c r="Q31" s="16"/>
    </row>
    <row r="32" spans="1:19" ht="15" customHeight="1" x14ac:dyDescent="0.2">
      <c r="A32" s="15">
        <f>IF(OR(tbAvaliacaoSLA[[#This Row],[Sistema/serviço]]="",A31=0),"",A31)</f>
        <v>46204</v>
      </c>
      <c r="B32" s="29"/>
      <c r="C32" s="16" t="s">
        <v>107</v>
      </c>
      <c r="D32" s="63">
        <v>0.99980000000000002</v>
      </c>
      <c r="E32" s="18">
        <f>IF(tbAvaliacaoSLA[[#This Row],[Competência]]="","",DAY(EOMONTH(tbAvaliacaoSLA[[#This Row],[Competência]],0))*24)</f>
        <v>744</v>
      </c>
      <c r="F32" s="19">
        <v>0</v>
      </c>
      <c r="G32" s="19">
        <v>0</v>
      </c>
      <c r="H32" s="20">
        <f>IF(OR(E32="",D32=""),"",E32*D32)</f>
        <v>743.85120000000006</v>
      </c>
      <c r="I32" s="21">
        <f>IFERROR(IF(OR(E32="",F32="",G32=""),"",E32-F32-G32),"")</f>
        <v>744</v>
      </c>
      <c r="J32" s="21">
        <f>IF(OR(H32="",F32="",G32=""),"",H32-F32-G32)</f>
        <v>743.85120000000006</v>
      </c>
      <c r="K32" s="24">
        <f>IFERROR(J32/I32,"")</f>
        <v>0.99980000000000013</v>
      </c>
      <c r="L32" s="23">
        <f>IF(tbAvaliacaoSLA[[#This Row],[Competência]]="","",Parâmetros!$B$4)</f>
        <v>0.99</v>
      </c>
      <c r="M32" s="24">
        <f>IF(K32="","",MAX(0,L32-K32))</f>
        <v>0</v>
      </c>
      <c r="N32" s="25">
        <f>IF(M32="","",IF(Parâmetros!$B$7="INICIADA",ROUNDUP(M32/Parâmetros!$B$5,0),ROUNDDOWN(M32/Parâmetros!$B$5,0)))</f>
        <v>0</v>
      </c>
      <c r="O32" s="25">
        <f>IF(N32="","",N32*Parâmetros!$B$6)</f>
        <v>0</v>
      </c>
      <c r="P32" s="26" t="str">
        <f>IF(K32="","",IF(OR(I32&lt;=0,J32&lt;0,J32&gt;I32),"REVISAR DADOS",IF(K32&gt;=L32,"ATENDIDO","NÃO ATENDIDO")))</f>
        <v>ATENDIDO</v>
      </c>
      <c r="Q32" s="16"/>
    </row>
    <row r="33" spans="1:17" ht="15" customHeight="1" x14ac:dyDescent="0.2">
      <c r="A33" s="15">
        <f>IF(OR(tbAvaliacaoSLA[[#This Row],[Sistema/serviço]]="",A32=0),"",A32)</f>
        <v>46204</v>
      </c>
      <c r="B33" s="29"/>
      <c r="C33" s="16" t="s">
        <v>91</v>
      </c>
      <c r="D33" s="63">
        <v>1</v>
      </c>
      <c r="E33" s="18">
        <f>IF(tbAvaliacaoSLA[[#This Row],[Competência]]="","",DAY(EOMONTH(tbAvaliacaoSLA[[#This Row],[Competência]],0))*24)</f>
        <v>744</v>
      </c>
      <c r="F33" s="19">
        <v>0</v>
      </c>
      <c r="G33" s="19">
        <v>0</v>
      </c>
      <c r="H33" s="20">
        <f>IF(OR(E33="",D33=""),"",E33*D33)</f>
        <v>744</v>
      </c>
      <c r="I33" s="21">
        <f>IFERROR(IF(OR(E33="",F33="",G33=""),"",E33-F33-G33),"")</f>
        <v>744</v>
      </c>
      <c r="J33" s="21">
        <f>IF(OR(H33="",F33="",G33=""),"",H33-F33-G33)</f>
        <v>744</v>
      </c>
      <c r="K33" s="24">
        <f>IFERROR(J33/I33,"")</f>
        <v>1</v>
      </c>
      <c r="L33" s="23">
        <f>IF(tbAvaliacaoSLA[[#This Row],[Competência]]="","",Parâmetros!$B$4)</f>
        <v>0.99</v>
      </c>
      <c r="M33" s="24">
        <f>IF(K33="","",MAX(0,L33-K33))</f>
        <v>0</v>
      </c>
      <c r="N33" s="25">
        <f>IF(M33="","",IF(Parâmetros!$B$7="INICIADA",ROUNDUP(M33/Parâmetros!$B$5,0),ROUNDDOWN(M33/Parâmetros!$B$5,0)))</f>
        <v>0</v>
      </c>
      <c r="O33" s="25">
        <f>IF(N33="","",N33*Parâmetros!$B$6)</f>
        <v>0</v>
      </c>
      <c r="P33" s="26" t="str">
        <f>IF(K33="","",IF(OR(I33&lt;=0,J33&lt;0,J33&gt;I33),"REVISAR DADOS",IF(K33&gt;=L33,"ATENDIDO","NÃO ATENDIDO")))</f>
        <v>ATENDIDO</v>
      </c>
      <c r="Q33" s="16"/>
    </row>
    <row r="34" spans="1:17" ht="15" customHeight="1" x14ac:dyDescent="0.2">
      <c r="A34" s="15">
        <f>IF(OR(tbAvaliacaoSLA[[#This Row],[Sistema/serviço]]="",A33=0),"",A33)</f>
        <v>46204</v>
      </c>
      <c r="B34" s="29"/>
      <c r="C34" s="16" t="s">
        <v>106</v>
      </c>
      <c r="D34" s="63">
        <v>0.99990000000000001</v>
      </c>
      <c r="E34" s="18">
        <f>IF(tbAvaliacaoSLA[[#This Row],[Competência]]="","",DAY(EOMONTH(tbAvaliacaoSLA[[#This Row],[Competência]],0))*24)</f>
        <v>744</v>
      </c>
      <c r="F34" s="19">
        <v>0</v>
      </c>
      <c r="G34" s="19">
        <v>0</v>
      </c>
      <c r="H34" s="20">
        <f>IF(OR(E34="",D34=""),"",E34*D34)</f>
        <v>743.92560000000003</v>
      </c>
      <c r="I34" s="21">
        <f>IF(OR(E34="",F34="",G34=""),"",E34-F34-G34)</f>
        <v>744</v>
      </c>
      <c r="J34" s="21">
        <f>IF(OR(H34="",F34="",G34=""),"",H34-F34-G34)</f>
        <v>743.92560000000003</v>
      </c>
      <c r="K34" s="24">
        <f>IFERROR(J34/I34,"")</f>
        <v>0.99990000000000001</v>
      </c>
      <c r="L34" s="23">
        <f>IF(tbAvaliacaoSLA[[#This Row],[Competência]]="","",Parâmetros!$B$4)</f>
        <v>0.99</v>
      </c>
      <c r="M34" s="24">
        <f>IF(K34="","",MAX(0,L34-K34))</f>
        <v>0</v>
      </c>
      <c r="N34" s="25">
        <f>IF(M34="","",IF(Parâmetros!$B$7="INICIADA",ROUNDUP(M34/Parâmetros!$B$5,0),ROUNDDOWN(M34/Parâmetros!$B$5,0)))</f>
        <v>0</v>
      </c>
      <c r="O34" s="25">
        <f>IF(N34="","",N34*Parâmetros!$B$6)</f>
        <v>0</v>
      </c>
      <c r="P34" s="26" t="str">
        <f>IF(K34="","",IF(OR(I34&lt;=0,J34&lt;0,J34&gt;I34),"REVISAR DADOS",IF(K34&gt;=L34,"ATENDIDO","NÃO ATENDIDO")))</f>
        <v>ATENDIDO</v>
      </c>
      <c r="Q34" s="16"/>
    </row>
    <row r="35" spans="1:17" ht="15" customHeight="1" x14ac:dyDescent="0.2">
      <c r="A35" s="15">
        <f>IF(OR(tbAvaliacaoSLA[[#This Row],[Sistema/serviço]]="",A34=0),"",A34)</f>
        <v>46204</v>
      </c>
      <c r="B35" s="29"/>
      <c r="C35" s="16" t="s">
        <v>92</v>
      </c>
      <c r="D35" s="63">
        <v>0.99990000000000001</v>
      </c>
      <c r="E35" s="18">
        <f>IF(tbAvaliacaoSLA[[#This Row],[Competência]]="","",DAY(EOMONTH(tbAvaliacaoSLA[[#This Row],[Competência]],0))*24)</f>
        <v>744</v>
      </c>
      <c r="F35" s="19">
        <v>0</v>
      </c>
      <c r="G35" s="19">
        <v>0</v>
      </c>
      <c r="H35" s="20">
        <f>IF(OR(E35="",D35=""),"",E35*D35)</f>
        <v>743.92560000000003</v>
      </c>
      <c r="I35" s="21">
        <f>IF(OR(E35="",F35="",G35=""),"",E35-F35-G35)</f>
        <v>744</v>
      </c>
      <c r="J35" s="21">
        <f>IF(OR(H35="",F35="",G35=""),"",H35-F35-G35)</f>
        <v>743.92560000000003</v>
      </c>
      <c r="K35" s="24">
        <f>IFERROR(J35/I35,"")</f>
        <v>0.99990000000000001</v>
      </c>
      <c r="L35" s="23">
        <f>IF(tbAvaliacaoSLA[[#This Row],[Competência]]="","",Parâmetros!$B$4)</f>
        <v>0.99</v>
      </c>
      <c r="M35" s="24">
        <f>IF(K35="","",MAX(0,L35-K35))</f>
        <v>0</v>
      </c>
      <c r="N35" s="25">
        <f>IF(M35="","",IF(Parâmetros!$B$7="INICIADA",ROUNDUP(M35/Parâmetros!$B$5,0),ROUNDDOWN(M35/Parâmetros!$B$5,0)))</f>
        <v>0</v>
      </c>
      <c r="O35" s="25">
        <f>IF(N35="","",N35*Parâmetros!$B$6)</f>
        <v>0</v>
      </c>
      <c r="P35" s="26" t="str">
        <f>IF(K35="","",IF(OR(I35&lt;=0,J35&lt;0,J35&gt;I35),"REVISAR DADOS",IF(K35&gt;=L35,"ATENDIDO","NÃO ATENDIDO")))</f>
        <v>ATENDIDO</v>
      </c>
      <c r="Q35" s="16"/>
    </row>
    <row r="36" spans="1:17" ht="15" customHeight="1" x14ac:dyDescent="0.2">
      <c r="A36" s="15">
        <f>IF(OR(tbAvaliacaoSLA[[#This Row],[Sistema/serviço]]="",A35=0),"",A35)</f>
        <v>46204</v>
      </c>
      <c r="B36" s="29"/>
      <c r="C36" s="16" t="s">
        <v>93</v>
      </c>
      <c r="D36" s="63">
        <v>1</v>
      </c>
      <c r="E36" s="18">
        <f>IF(tbAvaliacaoSLA[[#This Row],[Competência]]="","",DAY(EOMONTH(tbAvaliacaoSLA[[#This Row],[Competência]],0))*24)</f>
        <v>744</v>
      </c>
      <c r="F36" s="19">
        <v>0</v>
      </c>
      <c r="G36" s="19">
        <v>0</v>
      </c>
      <c r="H36" s="20">
        <f>IF(OR(E36="",D36=""),"",E36*D36)</f>
        <v>744</v>
      </c>
      <c r="I36" s="21">
        <f>IF(OR(E36="",F36="",G36=""),"",E36-F36-G36)</f>
        <v>744</v>
      </c>
      <c r="J36" s="21">
        <f>IF(OR(H36="",F36="",G36=""),"",H36-F36-G36)</f>
        <v>744</v>
      </c>
      <c r="K36" s="24">
        <f>IFERROR(J36/I36,"")</f>
        <v>1</v>
      </c>
      <c r="L36" s="23">
        <f>IF(tbAvaliacaoSLA[[#This Row],[Competência]]="","",Parâmetros!$B$4)</f>
        <v>0.99</v>
      </c>
      <c r="M36" s="24">
        <f>IF(K36="","",MAX(0,L36-K36))</f>
        <v>0</v>
      </c>
      <c r="N36" s="25">
        <f>IF(M36="","",IF(Parâmetros!$B$7="INICIADA",ROUNDUP(M36/Parâmetros!$B$5,0),ROUNDDOWN(M36/Parâmetros!$B$5,0)))</f>
        <v>0</v>
      </c>
      <c r="O36" s="25">
        <f>IF(N36="","",N36*Parâmetros!$B$6)</f>
        <v>0</v>
      </c>
      <c r="P36" s="26" t="str">
        <f>IF(K36="","",IF(OR(I36&lt;=0,J36&lt;0,J36&gt;I36),"REVISAR DADOS",IF(K36&gt;=L36,"ATENDIDO","NÃO ATENDIDO")))</f>
        <v>ATENDIDO</v>
      </c>
      <c r="Q36" s="16"/>
    </row>
    <row r="37" spans="1:17" ht="15" customHeight="1" x14ac:dyDescent="0.2">
      <c r="A37" s="15">
        <f>IF(OR(tbAvaliacaoSLA[[#This Row],[Sistema/serviço]]="",A36=0),"",A36)</f>
        <v>46204</v>
      </c>
      <c r="B37" s="29"/>
      <c r="C37" s="16" t="s">
        <v>94</v>
      </c>
      <c r="D37" s="63">
        <v>1</v>
      </c>
      <c r="E37" s="18">
        <f>IF(tbAvaliacaoSLA[[#This Row],[Competência]]="","",DAY(EOMONTH(tbAvaliacaoSLA[[#This Row],[Competência]],0))*24)</f>
        <v>744</v>
      </c>
      <c r="F37" s="19">
        <v>0</v>
      </c>
      <c r="G37" s="19">
        <v>0</v>
      </c>
      <c r="H37" s="20">
        <f>IF(OR(E37="",D37=""),"",E37*D37)</f>
        <v>744</v>
      </c>
      <c r="I37" s="21">
        <f>IF(OR(E37="",F37="",G37=""),"",E37-F37-G37)</f>
        <v>744</v>
      </c>
      <c r="J37" s="21">
        <f>IF(OR(H37="",F37="",G37=""),"",H37-F37-G37)</f>
        <v>744</v>
      </c>
      <c r="K37" s="24">
        <f>IFERROR(J37/I37,"")</f>
        <v>1</v>
      </c>
      <c r="L37" s="23">
        <f>IF(tbAvaliacaoSLA[[#This Row],[Competência]]="","",Parâmetros!$B$4)</f>
        <v>0.99</v>
      </c>
      <c r="M37" s="24">
        <f>IF(K37="","",MAX(0,L37-K37))</f>
        <v>0</v>
      </c>
      <c r="N37" s="25">
        <f>IF(M37="","",IF(Parâmetros!$B$7="INICIADA",ROUNDUP(M37/Parâmetros!$B$5,0),ROUNDDOWN(M37/Parâmetros!$B$5,0)))</f>
        <v>0</v>
      </c>
      <c r="O37" s="25">
        <f>IF(N37="","",N37*Parâmetros!$B$6)</f>
        <v>0</v>
      </c>
      <c r="P37" s="26" t="str">
        <f>IF(K37="","",IF(OR(I37&lt;=0,J37&lt;0,J37&gt;I37),"REVISAR DADOS",IF(K37&gt;=L37,"ATENDIDO","NÃO ATENDIDO")))</f>
        <v>ATENDIDO</v>
      </c>
      <c r="Q37" s="16"/>
    </row>
    <row r="38" spans="1:17" ht="15" customHeight="1" x14ac:dyDescent="0.2">
      <c r="A38" s="15">
        <f>IF(OR(tbAvaliacaoSLA[[#This Row],[Sistema/serviço]]="",A37=0),"",A37)</f>
        <v>46204</v>
      </c>
      <c r="B38" s="29"/>
      <c r="C38" s="16" t="s">
        <v>95</v>
      </c>
      <c r="D38" s="63">
        <v>0.99990000000000001</v>
      </c>
      <c r="E38" s="18">
        <f>IF(tbAvaliacaoSLA[[#This Row],[Competência]]="","",DAY(EOMONTH(tbAvaliacaoSLA[[#This Row],[Competência]],0))*24)</f>
        <v>744</v>
      </c>
      <c r="F38" s="19">
        <v>0</v>
      </c>
      <c r="G38" s="19">
        <v>0</v>
      </c>
      <c r="H38" s="20">
        <f>IF(OR(E38="",D38=""),"",E38*D38)</f>
        <v>743.92560000000003</v>
      </c>
      <c r="I38" s="21">
        <f>IF(OR(E38="",F38="",G38=""),"",E38-F38-G38)</f>
        <v>744</v>
      </c>
      <c r="J38" s="21">
        <f>IF(OR(H38="",F38="",G38=""),"",H38-F38-G38)</f>
        <v>743.92560000000003</v>
      </c>
      <c r="K38" s="24">
        <f>IFERROR(J38/I38,"")</f>
        <v>0.99990000000000001</v>
      </c>
      <c r="L38" s="23">
        <f>IF(tbAvaliacaoSLA[[#This Row],[Competência]]="","",Parâmetros!$B$4)</f>
        <v>0.99</v>
      </c>
      <c r="M38" s="24">
        <f>IF(K38="","",MAX(0,L38-K38))</f>
        <v>0</v>
      </c>
      <c r="N38" s="25">
        <f>IF(M38="","",IF(Parâmetros!$B$7="INICIADA",ROUNDUP(M38/Parâmetros!$B$5,0),ROUNDDOWN(M38/Parâmetros!$B$5,0)))</f>
        <v>0</v>
      </c>
      <c r="O38" s="25">
        <f>IF(N38="","",N38*Parâmetros!$B$6)</f>
        <v>0</v>
      </c>
      <c r="P38" s="26" t="str">
        <f>IF(K38="","",IF(OR(I38&lt;=0,J38&lt;0,J38&gt;I38),"REVISAR DADOS",IF(K38&gt;=L38,"ATENDIDO","NÃO ATENDIDO")))</f>
        <v>ATENDIDO</v>
      </c>
      <c r="Q38" s="16"/>
    </row>
    <row r="39" spans="1:17" ht="15" customHeight="1" x14ac:dyDescent="0.2">
      <c r="A39" s="15">
        <f>IF(OR(tbAvaliacaoSLA[[#This Row],[Sistema/serviço]]="",A38=0),"",A38)</f>
        <v>46204</v>
      </c>
      <c r="B39" s="29"/>
      <c r="C39" s="16" t="s">
        <v>96</v>
      </c>
      <c r="D39" s="63">
        <v>0.99990000000000001</v>
      </c>
      <c r="E39" s="18">
        <f>IF(tbAvaliacaoSLA[[#This Row],[Competência]]="","",DAY(EOMONTH(tbAvaliacaoSLA[[#This Row],[Competência]],0))*24)</f>
        <v>744</v>
      </c>
      <c r="F39" s="19">
        <v>0</v>
      </c>
      <c r="G39" s="19">
        <v>0</v>
      </c>
      <c r="H39" s="20">
        <f>IF(OR(E39="",D39=""),"",E39*D39)</f>
        <v>743.92560000000003</v>
      </c>
      <c r="I39" s="21">
        <f>IF(OR(E39="",F39="",G39=""),"",E39-F39-G39)</f>
        <v>744</v>
      </c>
      <c r="J39" s="21">
        <f>IF(OR(H39="",F39="",G39=""),"",H39-F39-G39)</f>
        <v>743.92560000000003</v>
      </c>
      <c r="K39" s="24">
        <f>IFERROR(J39/I39,"")</f>
        <v>0.99990000000000001</v>
      </c>
      <c r="L39" s="23">
        <f>IF(tbAvaliacaoSLA[[#This Row],[Competência]]="","",Parâmetros!$B$4)</f>
        <v>0.99</v>
      </c>
      <c r="M39" s="24">
        <f>IF(K39="","",MAX(0,L39-K39))</f>
        <v>0</v>
      </c>
      <c r="N39" s="25">
        <f>IF(M39="","",IF(Parâmetros!$B$7="INICIADA",ROUNDUP(M39/Parâmetros!$B$5,0),ROUNDDOWN(M39/Parâmetros!$B$5,0)))</f>
        <v>0</v>
      </c>
      <c r="O39" s="25">
        <f>IF(N39="","",N39*Parâmetros!$B$6)</f>
        <v>0</v>
      </c>
      <c r="P39" s="26" t="str">
        <f>IF(K39="","",IF(OR(I39&lt;=0,J39&lt;0,J39&gt;I39),"REVISAR DADOS",IF(K39&gt;=L39,"ATENDIDO","NÃO ATENDIDO")))</f>
        <v>ATENDIDO</v>
      </c>
      <c r="Q39" s="16"/>
    </row>
    <row r="40" spans="1:17" ht="15" customHeight="1" x14ac:dyDescent="0.2">
      <c r="A40" s="15">
        <f>IF(OR(tbAvaliacaoSLA[[#This Row],[Sistema/serviço]]="",A39=0),"",A39)</f>
        <v>46204</v>
      </c>
      <c r="B40" s="29"/>
      <c r="C40" s="16" t="s">
        <v>111</v>
      </c>
      <c r="D40" s="63">
        <v>1</v>
      </c>
      <c r="E40" s="18">
        <f>IF(tbAvaliacaoSLA[[#This Row],[Competência]]="","",DAY(EOMONTH(tbAvaliacaoSLA[[#This Row],[Competência]],0))*24)</f>
        <v>744</v>
      </c>
      <c r="F40" s="19">
        <v>0</v>
      </c>
      <c r="G40" s="19">
        <v>0</v>
      </c>
      <c r="H40" s="20">
        <f>IF(OR(E40="",D40=""),"",E40*D40)</f>
        <v>744</v>
      </c>
      <c r="I40" s="21">
        <f>IF(OR(E40="",F40="",G40=""),"",E40-F40-G40)</f>
        <v>744</v>
      </c>
      <c r="J40" s="21">
        <f>IF(OR(H40="",F40="",G40=""),"",H40-F40-G40)</f>
        <v>744</v>
      </c>
      <c r="K40" s="24">
        <f>IFERROR(J40/I40,"")</f>
        <v>1</v>
      </c>
      <c r="L40" s="23">
        <f>IF(tbAvaliacaoSLA[[#This Row],[Competência]]="","",Parâmetros!$B$4)</f>
        <v>0.99</v>
      </c>
      <c r="M40" s="24">
        <f>IF(K40="","",MAX(0,L40-K40))</f>
        <v>0</v>
      </c>
      <c r="N40" s="25">
        <f>IF(M40="","",IF(Parâmetros!$B$7="INICIADA",ROUNDUP(M40/Parâmetros!$B$5,0),ROUNDDOWN(M40/Parâmetros!$B$5,0)))</f>
        <v>0</v>
      </c>
      <c r="O40" s="25">
        <f>IF(N40="","",N40*Parâmetros!$B$6)</f>
        <v>0</v>
      </c>
      <c r="P40" s="26" t="str">
        <f>IF(K40="","",IF(OR(I40&lt;=0,J40&lt;0,J40&gt;I40),"REVISAR DADOS",IF(K40&gt;=L40,"ATENDIDO","NÃO ATENDIDO")))</f>
        <v>ATENDIDO</v>
      </c>
      <c r="Q40" s="16"/>
    </row>
    <row r="41" spans="1:17" ht="15" customHeight="1" x14ac:dyDescent="0.2">
      <c r="A41" s="15">
        <f>IF(OR(tbAvaliacaoSLA[[#This Row],[Sistema/serviço]]="",A40=0),"",A40)</f>
        <v>46204</v>
      </c>
      <c r="B41" s="29"/>
      <c r="C41" s="16" t="s">
        <v>114</v>
      </c>
      <c r="D41" s="63">
        <v>1</v>
      </c>
      <c r="E41" s="18">
        <f>IF(tbAvaliacaoSLA[[#This Row],[Competência]]="","",DAY(EOMONTH(tbAvaliacaoSLA[[#This Row],[Competência]],0))*24)</f>
        <v>744</v>
      </c>
      <c r="F41" s="19">
        <v>0</v>
      </c>
      <c r="G41" s="19">
        <v>0</v>
      </c>
      <c r="H41" s="20">
        <f>IF(OR(E41="",D41=""),"",E41*D41)</f>
        <v>744</v>
      </c>
      <c r="I41" s="21">
        <f>IF(OR(E41="",F41="",G41=""),"",E41-F41-G41)</f>
        <v>744</v>
      </c>
      <c r="J41" s="21">
        <f>IF(OR(H41="",F41="",G41=""),"",H41-F41-G41)</f>
        <v>744</v>
      </c>
      <c r="K41" s="24">
        <f>IFERROR(J41/I41,"")</f>
        <v>1</v>
      </c>
      <c r="L41" s="23">
        <f>IF(tbAvaliacaoSLA[[#This Row],[Competência]]="","",Parâmetros!$B$4)</f>
        <v>0.99</v>
      </c>
      <c r="M41" s="24">
        <f>IF(K41="","",MAX(0,L41-K41))</f>
        <v>0</v>
      </c>
      <c r="N41" s="25">
        <f>IF(M41="","",IF(Parâmetros!$B$7="INICIADA",ROUNDUP(M41/Parâmetros!$B$5,0),ROUNDDOWN(M41/Parâmetros!$B$5,0)))</f>
        <v>0</v>
      </c>
      <c r="O41" s="25">
        <f>IF(N41="","",N41*Parâmetros!$B$6)</f>
        <v>0</v>
      </c>
      <c r="P41" s="26" t="str">
        <f>IF(K41="","",IF(OR(I41&lt;=0,J41&lt;0,J41&gt;I41),"REVISAR DADOS",IF(K41&gt;=L41,"ATENDIDO","NÃO ATENDIDO")))</f>
        <v>ATENDIDO</v>
      </c>
      <c r="Q41" s="16"/>
    </row>
    <row r="42" spans="1:17" ht="15" customHeight="1" x14ac:dyDescent="0.2">
      <c r="A42" s="15">
        <f>IF(OR(tbAvaliacaoSLA[[#This Row],[Sistema/serviço]]="",A41=0),"",A41)</f>
        <v>46204</v>
      </c>
      <c r="B42" s="29"/>
      <c r="C42" s="16" t="s">
        <v>120</v>
      </c>
      <c r="D42" s="63">
        <v>0.99970000000000003</v>
      </c>
      <c r="E42" s="18">
        <f>IF(tbAvaliacaoSLA[[#This Row],[Competência]]="","",DAY(EOMONTH(tbAvaliacaoSLA[[#This Row],[Competência]],0))*24)</f>
        <v>744</v>
      </c>
      <c r="F42" s="19">
        <v>0</v>
      </c>
      <c r="G42" s="19">
        <v>0</v>
      </c>
      <c r="H42" s="20">
        <f>IF(OR(E42="",D42=""),"",E42*D42)</f>
        <v>743.77679999999998</v>
      </c>
      <c r="I42" s="21">
        <f>IF(OR(E42="",F42="",G42=""),"",E42-F42-G42)</f>
        <v>744</v>
      </c>
      <c r="J42" s="21">
        <f>IF(OR(H42="",F42="",G42=""),"",H42-F42-G42)</f>
        <v>743.77679999999998</v>
      </c>
      <c r="K42" s="24">
        <f>IFERROR(J42/I42,"")</f>
        <v>0.99969999999999992</v>
      </c>
      <c r="L42" s="23">
        <f>IF(tbAvaliacaoSLA[[#This Row],[Competência]]="","",Parâmetros!$B$4)</f>
        <v>0.99</v>
      </c>
      <c r="M42" s="24">
        <f>IF(K42="","",MAX(0,L42-K42))</f>
        <v>0</v>
      </c>
      <c r="N42" s="25">
        <f>IF(M42="","",IF(Parâmetros!$B$7="INICIADA",ROUNDUP(M42/Parâmetros!$B$5,0),ROUNDDOWN(M42/Parâmetros!$B$5,0)))</f>
        <v>0</v>
      </c>
      <c r="O42" s="25">
        <f>IF(N42="","",N42*Parâmetros!$B$6)</f>
        <v>0</v>
      </c>
      <c r="P42" s="26" t="str">
        <f>IF(K42="","",IF(OR(I42&lt;=0,J42&lt;0,J42&gt;I42),"REVISAR DADOS",IF(K42&gt;=L42,"ATENDIDO","NÃO ATENDIDO")))</f>
        <v>ATENDIDO</v>
      </c>
      <c r="Q42" s="16"/>
    </row>
    <row r="43" spans="1:17" ht="15" customHeight="1" x14ac:dyDescent="0.2">
      <c r="A43" s="15">
        <f>IF(OR(tbAvaliacaoSLA[[#This Row],[Sistema/serviço]]="",A42=0),"",A42)</f>
        <v>46204</v>
      </c>
      <c r="B43" s="29"/>
      <c r="C43" s="16" t="s">
        <v>97</v>
      </c>
      <c r="D43" s="63">
        <v>1</v>
      </c>
      <c r="E43" s="18">
        <f>IF(tbAvaliacaoSLA[[#This Row],[Competência]]="","",DAY(EOMONTH(tbAvaliacaoSLA[[#This Row],[Competência]],0))*24)</f>
        <v>744</v>
      </c>
      <c r="F43" s="19">
        <v>0</v>
      </c>
      <c r="G43" s="19">
        <v>0</v>
      </c>
      <c r="H43" s="20">
        <f>IF(OR(E43="",D43=""),"",E43*D43)</f>
        <v>744</v>
      </c>
      <c r="I43" s="21">
        <f>IF(OR(E43="",F43="",G43=""),"",E43-F43-G43)</f>
        <v>744</v>
      </c>
      <c r="J43" s="21">
        <f>IF(OR(H43="",F43="",G43=""),"",H43-F43-G43)</f>
        <v>744</v>
      </c>
      <c r="K43" s="24">
        <f>IFERROR(J43/I43,"")</f>
        <v>1</v>
      </c>
      <c r="L43" s="23">
        <f>IF(tbAvaliacaoSLA[[#This Row],[Competência]]="","",Parâmetros!$B$4)</f>
        <v>0.99</v>
      </c>
      <c r="M43" s="24">
        <f>IF(K43="","",MAX(0,L43-K43))</f>
        <v>0</v>
      </c>
      <c r="N43" s="25">
        <f>IF(M43="","",IF(Parâmetros!$B$7="INICIADA",ROUNDUP(M43/Parâmetros!$B$5,0),ROUNDDOWN(M43/Parâmetros!$B$5,0)))</f>
        <v>0</v>
      </c>
      <c r="O43" s="25">
        <f>IF(N43="","",N43*Parâmetros!$B$6)</f>
        <v>0</v>
      </c>
      <c r="P43" s="26" t="str">
        <f>IF(K43="","",IF(OR(I43&lt;=0,J43&lt;0,J43&gt;I43),"REVISAR DADOS",IF(K43&gt;=L43,"ATENDIDO","NÃO ATENDIDO")))</f>
        <v>ATENDIDO</v>
      </c>
      <c r="Q43" s="16"/>
    </row>
    <row r="44" spans="1:17" ht="15" customHeight="1" x14ac:dyDescent="0.2">
      <c r="A44" s="15">
        <f>IF(OR(tbAvaliacaoSLA[[#This Row],[Sistema/serviço]]="",A43=0),"",A43)</f>
        <v>46204</v>
      </c>
      <c r="B44" s="29"/>
      <c r="C44" s="16" t="s">
        <v>98</v>
      </c>
      <c r="D44" s="63">
        <v>1</v>
      </c>
      <c r="E44" s="18">
        <f>IF(tbAvaliacaoSLA[[#This Row],[Competência]]="","",DAY(EOMONTH(tbAvaliacaoSLA[[#This Row],[Competência]],0))*24)</f>
        <v>744</v>
      </c>
      <c r="F44" s="19">
        <v>0</v>
      </c>
      <c r="G44" s="19">
        <v>0</v>
      </c>
      <c r="H44" s="20">
        <f>IF(OR(E44="",D44=""),"",E44*D44)</f>
        <v>744</v>
      </c>
      <c r="I44" s="21">
        <f>IF(OR(E44="",F44="",G44=""),"",E44-F44-G44)</f>
        <v>744</v>
      </c>
      <c r="J44" s="21">
        <f>IF(OR(H44="",F44="",G44=""),"",H44-F44-G44)</f>
        <v>744</v>
      </c>
      <c r="K44" s="24">
        <f>IFERROR(J44/I44,"")</f>
        <v>1</v>
      </c>
      <c r="L44" s="23">
        <f>IF(tbAvaliacaoSLA[[#This Row],[Competência]]="","",Parâmetros!$B$4)</f>
        <v>0.99</v>
      </c>
      <c r="M44" s="24">
        <f>IF(K44="","",MAX(0,L44-K44))</f>
        <v>0</v>
      </c>
      <c r="N44" s="25">
        <f>IF(M44="","",IF(Parâmetros!$B$7="INICIADA",ROUNDUP(M44/Parâmetros!$B$5,0),ROUNDDOWN(M44/Parâmetros!$B$5,0)))</f>
        <v>0</v>
      </c>
      <c r="O44" s="25">
        <f>IF(N44="","",N44*Parâmetros!$B$6)</f>
        <v>0</v>
      </c>
      <c r="P44" s="26" t="str">
        <f>IF(K44="","",IF(OR(I44&lt;=0,J44&lt;0,J44&gt;I44),"REVISAR DADOS",IF(K44&gt;=L44,"ATENDIDO","NÃO ATENDIDO")))</f>
        <v>ATENDIDO</v>
      </c>
      <c r="Q44" s="16"/>
    </row>
    <row r="45" spans="1:17" ht="15" customHeight="1" x14ac:dyDescent="0.2">
      <c r="A45" s="15">
        <f>IF(OR(tbAvaliacaoSLA[[#This Row],[Sistema/serviço]]="",A44=0),"",A44)</f>
        <v>46204</v>
      </c>
      <c r="B45" s="29"/>
      <c r="C45" s="16" t="s">
        <v>121</v>
      </c>
      <c r="D45" s="63">
        <v>1</v>
      </c>
      <c r="E45" s="18">
        <f>IF(tbAvaliacaoSLA[[#This Row],[Competência]]="","",DAY(EOMONTH(tbAvaliacaoSLA[[#This Row],[Competência]],0))*24)</f>
        <v>744</v>
      </c>
      <c r="F45" s="19">
        <v>0</v>
      </c>
      <c r="G45" s="19">
        <v>0</v>
      </c>
      <c r="H45" s="20">
        <f>IF(OR(E45="",D45=""),"",E45*D45)</f>
        <v>744</v>
      </c>
      <c r="I45" s="21">
        <f>IF(OR(E45="",F45="",G45=""),"",E45-F45-G45)</f>
        <v>744</v>
      </c>
      <c r="J45" s="21">
        <f>IF(OR(H45="",F45="",G45=""),"",H45-F45-G45)</f>
        <v>744</v>
      </c>
      <c r="K45" s="24">
        <f>IFERROR(J45/I45,"")</f>
        <v>1</v>
      </c>
      <c r="L45" s="23">
        <f>IF(tbAvaliacaoSLA[[#This Row],[Competência]]="","",Parâmetros!$B$4)</f>
        <v>0.99</v>
      </c>
      <c r="M45" s="24">
        <f>IF(K45="","",MAX(0,L45-K45))</f>
        <v>0</v>
      </c>
      <c r="N45" s="25">
        <f>IF(M45="","",IF(Parâmetros!$B$7="INICIADA",ROUNDUP(M45/Parâmetros!$B$5,0),ROUNDDOWN(M45/Parâmetros!$B$5,0)))</f>
        <v>0</v>
      </c>
      <c r="O45" s="25">
        <f>IF(N45="","",N45*Parâmetros!$B$6)</f>
        <v>0</v>
      </c>
      <c r="P45" s="26" t="str">
        <f>IF(K45="","",IF(OR(I45&lt;=0,J45&lt;0,J45&gt;I45),"REVISAR DADOS",IF(K45&gt;=L45,"ATENDIDO","NÃO ATENDIDO")))</f>
        <v>ATENDIDO</v>
      </c>
      <c r="Q45" s="16"/>
    </row>
    <row r="46" spans="1:17" ht="15" customHeight="1" x14ac:dyDescent="0.2">
      <c r="A46" s="15">
        <f>IF(OR(tbAvaliacaoSLA[[#This Row],[Sistema/serviço]]="",A45=0),"",A45)</f>
        <v>46204</v>
      </c>
      <c r="B46" s="29"/>
      <c r="C46" s="16" t="s">
        <v>99</v>
      </c>
      <c r="D46" s="63">
        <v>1</v>
      </c>
      <c r="E46" s="18">
        <f>IF(tbAvaliacaoSLA[[#This Row],[Competência]]="","",DAY(EOMONTH(tbAvaliacaoSLA[[#This Row],[Competência]],0))*24)</f>
        <v>744</v>
      </c>
      <c r="F46" s="19">
        <v>0</v>
      </c>
      <c r="G46" s="19">
        <v>0</v>
      </c>
      <c r="H46" s="20">
        <f>IF(OR(E46="",D46=""),"",E46*D46)</f>
        <v>744</v>
      </c>
      <c r="I46" s="21">
        <f>IF(OR(E46="",F46="",G46=""),"",E46-F46-G46)</f>
        <v>744</v>
      </c>
      <c r="J46" s="21">
        <f>IF(OR(H46="",F46="",G46=""),"",H46-F46-G46)</f>
        <v>744</v>
      </c>
      <c r="K46" s="24">
        <f>IFERROR(J46/I46,"")</f>
        <v>1</v>
      </c>
      <c r="L46" s="23">
        <f>IF(tbAvaliacaoSLA[[#This Row],[Competência]]="","",Parâmetros!$B$4)</f>
        <v>0.99</v>
      </c>
      <c r="M46" s="24">
        <f>IF(K46="","",MAX(0,L46-K46))</f>
        <v>0</v>
      </c>
      <c r="N46" s="25">
        <f>IF(M46="","",IF(Parâmetros!$B$7="INICIADA",ROUNDUP(M46/Parâmetros!$B$5,0),ROUNDDOWN(M46/Parâmetros!$B$5,0)))</f>
        <v>0</v>
      </c>
      <c r="O46" s="25">
        <f>IF(N46="","",N46*Parâmetros!$B$6)</f>
        <v>0</v>
      </c>
      <c r="P46" s="26" t="str">
        <f>IF(K46="","",IF(OR(I46&lt;=0,J46&lt;0,J46&gt;I46),"REVISAR DADOS",IF(K46&gt;=L46,"ATENDIDO","NÃO ATENDIDO")))</f>
        <v>ATENDIDO</v>
      </c>
      <c r="Q46" s="16"/>
    </row>
    <row r="47" spans="1:17" ht="15" customHeight="1" x14ac:dyDescent="0.2">
      <c r="A47" s="15">
        <f>IF(OR(tbAvaliacaoSLA[[#This Row],[Sistema/serviço]]="",A46=0),"",A46)</f>
        <v>46204</v>
      </c>
      <c r="B47" s="29"/>
      <c r="C47" s="16" t="s">
        <v>122</v>
      </c>
      <c r="D47" s="63">
        <v>0.99990000000000001</v>
      </c>
      <c r="E47" s="18">
        <f>IF(tbAvaliacaoSLA[[#This Row],[Competência]]="","",DAY(EOMONTH(tbAvaliacaoSLA[[#This Row],[Competência]],0))*24)</f>
        <v>744</v>
      </c>
      <c r="F47" s="19">
        <v>0</v>
      </c>
      <c r="G47" s="19">
        <v>0</v>
      </c>
      <c r="H47" s="20">
        <f>IF(OR(E47="",D47=""),"",E47*D47)</f>
        <v>743.92560000000003</v>
      </c>
      <c r="I47" s="21">
        <f>IF(OR(E47="",F47="",G47=""),"",E47-F47-G47)</f>
        <v>744</v>
      </c>
      <c r="J47" s="21">
        <f>IF(OR(H47="",F47="",G47=""),"",H47-F47-G47)</f>
        <v>743.92560000000003</v>
      </c>
      <c r="K47" s="24">
        <f>IFERROR(J47/I47,"")</f>
        <v>0.99990000000000001</v>
      </c>
      <c r="L47" s="23">
        <f>IF(tbAvaliacaoSLA[[#This Row],[Competência]]="","",Parâmetros!$B$4)</f>
        <v>0.99</v>
      </c>
      <c r="M47" s="24">
        <f>IF(K47="","",MAX(0,L47-K47))</f>
        <v>0</v>
      </c>
      <c r="N47" s="25">
        <f>IF(M47="","",IF(Parâmetros!$B$7="INICIADA",ROUNDUP(M47/Parâmetros!$B$5,0),ROUNDDOWN(M47/Parâmetros!$B$5,0)))</f>
        <v>0</v>
      </c>
      <c r="O47" s="25">
        <f>IF(N47="","",N47*Parâmetros!$B$6)</f>
        <v>0</v>
      </c>
      <c r="P47" s="26" t="str">
        <f>IF(K47="","",IF(OR(I47&lt;=0,J47&lt;0,J47&gt;I47),"REVISAR DADOS",IF(K47&gt;=L47,"ATENDIDO","NÃO ATENDIDO")))</f>
        <v>ATENDIDO</v>
      </c>
      <c r="Q47" s="16"/>
    </row>
    <row r="48" spans="1:17" ht="15" customHeight="1" x14ac:dyDescent="0.2">
      <c r="A48" s="15">
        <f>IF(OR(tbAvaliacaoSLA[[#This Row],[Sistema/serviço]]="",A47=0),"",A47)</f>
        <v>46204</v>
      </c>
      <c r="B48" s="29"/>
      <c r="C48" s="16" t="s">
        <v>123</v>
      </c>
      <c r="D48" s="63">
        <v>1</v>
      </c>
      <c r="E48" s="18">
        <f>IF(tbAvaliacaoSLA[[#This Row],[Competência]]="","",DAY(EOMONTH(tbAvaliacaoSLA[[#This Row],[Competência]],0))*24)</f>
        <v>744</v>
      </c>
      <c r="F48" s="19">
        <v>0</v>
      </c>
      <c r="G48" s="19">
        <v>0</v>
      </c>
      <c r="H48" s="20">
        <f>IF(OR(E48="",D48=""),"",E48*D48)</f>
        <v>744</v>
      </c>
      <c r="I48" s="21">
        <f>IF(OR(E48="",F48="",G48=""),"",E48-F48-G48)</f>
        <v>744</v>
      </c>
      <c r="J48" s="21">
        <f>IF(OR(H48="",F48="",G48=""),"",H48-F48-G48)</f>
        <v>744</v>
      </c>
      <c r="K48" s="24">
        <f>IFERROR(J48/I48,"")</f>
        <v>1</v>
      </c>
      <c r="L48" s="23">
        <f>IF(tbAvaliacaoSLA[[#This Row],[Competência]]="","",Parâmetros!$B$4)</f>
        <v>0.99</v>
      </c>
      <c r="M48" s="24">
        <f>IF(K48="","",MAX(0,L48-K48))</f>
        <v>0</v>
      </c>
      <c r="N48" s="25">
        <f>IF(M48="","",IF(Parâmetros!$B$7="INICIADA",ROUNDUP(M48/Parâmetros!$B$5,0),ROUNDDOWN(M48/Parâmetros!$B$5,0)))</f>
        <v>0</v>
      </c>
      <c r="O48" s="25">
        <f>IF(N48="","",N48*Parâmetros!$B$6)</f>
        <v>0</v>
      </c>
      <c r="P48" s="26" t="str">
        <f>IF(K48="","",IF(OR(I48&lt;=0,J48&lt;0,J48&gt;I48),"REVISAR DADOS",IF(K48&gt;=L48,"ATENDIDO","NÃO ATENDIDO")))</f>
        <v>ATENDIDO</v>
      </c>
      <c r="Q48" s="16"/>
    </row>
    <row r="49" spans="1:17" ht="15" customHeight="1" x14ac:dyDescent="0.2">
      <c r="A49" s="15">
        <f>IF(OR(tbAvaliacaoSLA[[#This Row],[Sistema/serviço]]="",A48=0),"",A48)</f>
        <v>46204</v>
      </c>
      <c r="B49" s="29"/>
      <c r="C49" s="16" t="s">
        <v>101</v>
      </c>
      <c r="D49" s="63">
        <v>1</v>
      </c>
      <c r="E49" s="18">
        <f>IF(tbAvaliacaoSLA[[#This Row],[Competência]]="","",DAY(EOMONTH(tbAvaliacaoSLA[[#This Row],[Competência]],0))*24)</f>
        <v>744</v>
      </c>
      <c r="F49" s="19">
        <v>0</v>
      </c>
      <c r="G49" s="19">
        <v>0</v>
      </c>
      <c r="H49" s="20">
        <f>IF(OR(E49="",D49=""),"",E49*D49)</f>
        <v>744</v>
      </c>
      <c r="I49" s="21">
        <f>IF(OR(E49="",F49="",G49=""),"",E49-F49-G49)</f>
        <v>744</v>
      </c>
      <c r="J49" s="21">
        <f>IF(OR(H49="",F49="",G49=""),"",H49-F49-G49)</f>
        <v>744</v>
      </c>
      <c r="K49" s="24">
        <f>IFERROR(J49/I49,"")</f>
        <v>1</v>
      </c>
      <c r="L49" s="23">
        <f>IF(tbAvaliacaoSLA[[#This Row],[Competência]]="","",Parâmetros!$B$4)</f>
        <v>0.99</v>
      </c>
      <c r="M49" s="24">
        <f>IF(K49="","",MAX(0,L49-K49))</f>
        <v>0</v>
      </c>
      <c r="N49" s="25">
        <f>IF(M49="","",IF(Parâmetros!$B$7="INICIADA",ROUNDUP(M49/Parâmetros!$B$5,0),ROUNDDOWN(M49/Parâmetros!$B$5,0)))</f>
        <v>0</v>
      </c>
      <c r="O49" s="25">
        <f>IF(N49="","",N49*Parâmetros!$B$6)</f>
        <v>0</v>
      </c>
      <c r="P49" s="26" t="str">
        <f>IF(K49="","",IF(OR(I49&lt;=0,J49&lt;0,J49&gt;I49),"REVISAR DADOS",IF(K49&gt;=L49,"ATENDIDO","NÃO ATENDIDO")))</f>
        <v>ATENDIDO</v>
      </c>
      <c r="Q49" s="16"/>
    </row>
    <row r="50" spans="1:17" ht="15" customHeight="1" x14ac:dyDescent="0.2">
      <c r="A50" s="15">
        <f>IF(OR(tbAvaliacaoSLA[[#This Row],[Sistema/serviço]]="",A49=0),"",A49)</f>
        <v>46204</v>
      </c>
      <c r="B50" s="29"/>
      <c r="C50" s="16" t="s">
        <v>110</v>
      </c>
      <c r="D50" s="63">
        <v>0.99929999999999997</v>
      </c>
      <c r="E50" s="18">
        <f>IF(tbAvaliacaoSLA[[#This Row],[Competência]]="","",DAY(EOMONTH(tbAvaliacaoSLA[[#This Row],[Competência]],0))*24)</f>
        <v>744</v>
      </c>
      <c r="F50" s="19">
        <v>0</v>
      </c>
      <c r="G50" s="19">
        <v>0</v>
      </c>
      <c r="H50" s="20">
        <f>IF(OR(E50="",D50=""),"",E50*D50)</f>
        <v>743.47919999999999</v>
      </c>
      <c r="I50" s="21">
        <f>IF(OR(E50="",F50="",G50=""),"",E50-F50-G50)</f>
        <v>744</v>
      </c>
      <c r="J50" s="21">
        <f>IF(OR(H50="",F50="",G50=""),"",H50-F50-G50)</f>
        <v>743.47919999999999</v>
      </c>
      <c r="K50" s="24">
        <f>IFERROR(J50/I50,"")</f>
        <v>0.99929999999999997</v>
      </c>
      <c r="L50" s="23">
        <f>IF(tbAvaliacaoSLA[[#This Row],[Competência]]="","",Parâmetros!$B$4)</f>
        <v>0.99</v>
      </c>
      <c r="M50" s="24">
        <f>IF(K50="","",MAX(0,L50-K50))</f>
        <v>0</v>
      </c>
      <c r="N50" s="25">
        <f>IF(M50="","",IF(Parâmetros!$B$7="INICIADA",ROUNDUP(M50/Parâmetros!$B$5,0),ROUNDDOWN(M50/Parâmetros!$B$5,0)))</f>
        <v>0</v>
      </c>
      <c r="O50" s="25">
        <f>IF(N50="","",N50*Parâmetros!$B$6)</f>
        <v>0</v>
      </c>
      <c r="P50" s="26" t="str">
        <f>IF(K50="","",IF(OR(I50&lt;=0,J50&lt;0,J50&gt;I50),"REVISAR DADOS",IF(K50&gt;=L50,"ATENDIDO","NÃO ATENDIDO")))</f>
        <v>ATENDIDO</v>
      </c>
      <c r="Q50" s="16"/>
    </row>
    <row r="51" spans="1:17" ht="15" customHeight="1" x14ac:dyDescent="0.2">
      <c r="A51" s="15">
        <f>IF(OR(tbAvaliacaoSLA[[#This Row],[Sistema/serviço]]="",A50=0),"",A50)</f>
        <v>46204</v>
      </c>
      <c r="B51" s="29"/>
      <c r="C51" s="16" t="s">
        <v>115</v>
      </c>
      <c r="D51" s="63">
        <v>0.94479999999999997</v>
      </c>
      <c r="E51" s="18">
        <f>IF(tbAvaliacaoSLA[[#This Row],[Competência]]="","",DAY(EOMONTH(tbAvaliacaoSLA[[#This Row],[Competência]],0))*24)</f>
        <v>744</v>
      </c>
      <c r="F51" s="19">
        <v>0</v>
      </c>
      <c r="G51" s="19">
        <v>0</v>
      </c>
      <c r="H51" s="20">
        <f>IF(OR(E51="",D51=""),"",E51*D51)</f>
        <v>702.93119999999999</v>
      </c>
      <c r="I51" s="21">
        <f>IF(OR(E51="",F51="",G51=""),"",E51-F51-G51)</f>
        <v>744</v>
      </c>
      <c r="J51" s="21">
        <f>IF(OR(H51="",F51="",G51=""),"",H51-F51-G51)</f>
        <v>702.93119999999999</v>
      </c>
      <c r="K51" s="24">
        <f>IFERROR(J51/I51,"")</f>
        <v>0.94479999999999997</v>
      </c>
      <c r="L51" s="23">
        <f>IF(tbAvaliacaoSLA[[#This Row],[Competência]]="","",Parâmetros!$B$4)</f>
        <v>0.99</v>
      </c>
      <c r="M51" s="24">
        <f>IF(K51="","",MAX(0,L51-K51))</f>
        <v>4.5200000000000018E-2</v>
      </c>
      <c r="N51" s="25">
        <f>IF(M51="","",IF(Parâmetros!$B$7="INICIADA",ROUNDUP(M51/Parâmetros!$B$5,0),ROUNDDOWN(M51/Parâmetros!$B$5,0)))</f>
        <v>46</v>
      </c>
      <c r="O51" s="25">
        <f>IF(N51="","",N51*Parâmetros!$B$6)</f>
        <v>11500</v>
      </c>
      <c r="P51" s="26" t="str">
        <f>IF(K51="","",IF(OR(I51&lt;=0,J51&lt;0,J51&gt;I51),"REVISAR DADOS",IF(K51&gt;=L51,"ATENDIDO","NÃO ATENDIDO")))</f>
        <v>NÃO ATENDIDO</v>
      </c>
      <c r="Q51" s="16"/>
    </row>
    <row r="52" spans="1:17" ht="15" customHeight="1" x14ac:dyDescent="0.2">
      <c r="A52" s="15">
        <f>IF(OR(tbAvaliacaoSLA[[#This Row],[Sistema/serviço]]="",A51=0),"",A51)</f>
        <v>46204</v>
      </c>
      <c r="B52" s="29"/>
      <c r="C52" s="16" t="s">
        <v>108</v>
      </c>
      <c r="D52" s="63">
        <v>0.99990000000000001</v>
      </c>
      <c r="E52" s="18">
        <f>IF(tbAvaliacaoSLA[[#This Row],[Competência]]="","",DAY(EOMONTH(tbAvaliacaoSLA[[#This Row],[Competência]],0))*24)</f>
        <v>744</v>
      </c>
      <c r="F52" s="19">
        <v>0</v>
      </c>
      <c r="G52" s="19">
        <v>0</v>
      </c>
      <c r="H52" s="20">
        <f>IF(OR(E52="",D52=""),"",E52*D52)</f>
        <v>743.92560000000003</v>
      </c>
      <c r="I52" s="21">
        <f>IF(OR(E52="",F52="",G52=""),"",E52-F52-G52)</f>
        <v>744</v>
      </c>
      <c r="J52" s="21">
        <f>IF(OR(H52="",F52="",G52=""),"",H52-F52-G52)</f>
        <v>743.92560000000003</v>
      </c>
      <c r="K52" s="24">
        <f>IFERROR(J52/I52,"")</f>
        <v>0.99990000000000001</v>
      </c>
      <c r="L52" s="23">
        <f>IF(tbAvaliacaoSLA[[#This Row],[Competência]]="","",Parâmetros!$B$4)</f>
        <v>0.99</v>
      </c>
      <c r="M52" s="24">
        <f>IF(K52="","",MAX(0,L52-K52))</f>
        <v>0</v>
      </c>
      <c r="N52" s="25">
        <f>IF(M52="","",IF(Parâmetros!$B$7="INICIADA",ROUNDUP(M52/Parâmetros!$B$5,0),ROUNDDOWN(M52/Parâmetros!$B$5,0)))</f>
        <v>0</v>
      </c>
      <c r="O52" s="25">
        <f>IF(N52="","",N52*Parâmetros!$B$6)</f>
        <v>0</v>
      </c>
      <c r="P52" s="26" t="str">
        <f>IF(K52="","",IF(OR(I52&lt;=0,J52&lt;0,J52&gt;I52),"REVISAR DADOS",IF(K52&gt;=L52,"ATENDIDO","NÃO ATENDIDO")))</f>
        <v>ATENDIDO</v>
      </c>
      <c r="Q52" s="16"/>
    </row>
    <row r="53" spans="1:17" ht="15" customHeight="1" x14ac:dyDescent="0.2">
      <c r="A53" s="15">
        <f>IF(OR(tbAvaliacaoSLA[[#This Row],[Sistema/serviço]]="",A52=0),"",A52)</f>
        <v>46204</v>
      </c>
      <c r="B53" s="29"/>
      <c r="C53" s="16" t="s">
        <v>71</v>
      </c>
      <c r="D53" s="63">
        <v>0.99990000000000001</v>
      </c>
      <c r="E53" s="18">
        <f>IF(tbAvaliacaoSLA[[#This Row],[Competência]]="","",DAY(EOMONTH(tbAvaliacaoSLA[[#This Row],[Competência]],0))*24)</f>
        <v>744</v>
      </c>
      <c r="F53" s="19">
        <v>0</v>
      </c>
      <c r="G53" s="19">
        <v>0</v>
      </c>
      <c r="H53" s="20">
        <f>IF(OR(E53="",D53=""),"",E53*D53)</f>
        <v>743.92560000000003</v>
      </c>
      <c r="I53" s="21">
        <f>IF(OR(E53="",F53="",G53=""),"",E53-F53-G53)</f>
        <v>744</v>
      </c>
      <c r="J53" s="21">
        <f>IF(OR(H53="",F53="",G53=""),"",H53-F53-G53)</f>
        <v>743.92560000000003</v>
      </c>
      <c r="K53" s="24">
        <f>IFERROR(J53/I53,"")</f>
        <v>0.99990000000000001</v>
      </c>
      <c r="L53" s="23">
        <f>IF(tbAvaliacaoSLA[[#This Row],[Competência]]="","",Parâmetros!$B$4)</f>
        <v>0.99</v>
      </c>
      <c r="M53" s="24">
        <f>IF(K53="","",MAX(0,L53-K53))</f>
        <v>0</v>
      </c>
      <c r="N53" s="25">
        <f>IF(M53="","",IF(Parâmetros!$B$7="INICIADA",ROUNDUP(M53/Parâmetros!$B$5,0),ROUNDDOWN(M53/Parâmetros!$B$5,0)))</f>
        <v>0</v>
      </c>
      <c r="O53" s="25">
        <f>IF(N53="","",N53*Parâmetros!$B$6)</f>
        <v>0</v>
      </c>
      <c r="P53" s="26" t="str">
        <f>IF(K53="","",IF(OR(I53&lt;=0,J53&lt;0,J53&gt;I53),"REVISAR DADOS",IF(K53&gt;=L53,"ATENDIDO","NÃO ATENDIDO")))</f>
        <v>ATENDIDO</v>
      </c>
      <c r="Q53" s="16"/>
    </row>
    <row r="54" spans="1:17" ht="15" customHeight="1" x14ac:dyDescent="0.2">
      <c r="A54" s="15">
        <f>IF(OR(tbAvaliacaoSLA[[#This Row],[Sistema/serviço]]="",A53=0),"",A53)</f>
        <v>46204</v>
      </c>
      <c r="B54" s="29"/>
      <c r="C54" s="16" t="s">
        <v>72</v>
      </c>
      <c r="D54" s="63">
        <v>1</v>
      </c>
      <c r="E54" s="18">
        <f>IF(tbAvaliacaoSLA[[#This Row],[Competência]]="","",DAY(EOMONTH(tbAvaliacaoSLA[[#This Row],[Competência]],0))*24)</f>
        <v>744</v>
      </c>
      <c r="F54" s="19">
        <v>0</v>
      </c>
      <c r="G54" s="19">
        <v>0</v>
      </c>
      <c r="H54" s="20">
        <f>IF(OR(E54="",D54=""),"",E54*D54)</f>
        <v>744</v>
      </c>
      <c r="I54" s="21">
        <f>IF(OR(E54="",F54="",G54=""),"",E54-F54-G54)</f>
        <v>744</v>
      </c>
      <c r="J54" s="21">
        <f>IF(OR(H54="",F54="",G54=""),"",H54-F54-G54)</f>
        <v>744</v>
      </c>
      <c r="K54" s="24">
        <f>IFERROR(J54/I54,"")</f>
        <v>1</v>
      </c>
      <c r="L54" s="23">
        <f>IF(tbAvaliacaoSLA[[#This Row],[Competência]]="","",Parâmetros!$B$4)</f>
        <v>0.99</v>
      </c>
      <c r="M54" s="24">
        <f>IF(K54="","",MAX(0,L54-K54))</f>
        <v>0</v>
      </c>
      <c r="N54" s="25">
        <f>IF(M54="","",IF(Parâmetros!$B$7="INICIADA",ROUNDUP(M54/Parâmetros!$B$5,0),ROUNDDOWN(M54/Parâmetros!$B$5,0)))</f>
        <v>0</v>
      </c>
      <c r="O54" s="25">
        <f>IF(N54="","",N54*Parâmetros!$B$6)</f>
        <v>0</v>
      </c>
      <c r="P54" s="26" t="str">
        <f>IF(K54="","",IF(OR(I54&lt;=0,J54&lt;0,J54&gt;I54),"REVISAR DADOS",IF(K54&gt;=L54,"ATENDIDO","NÃO ATENDIDO")))</f>
        <v>ATENDIDO</v>
      </c>
      <c r="Q54" s="16"/>
    </row>
    <row r="55" spans="1:17" ht="15" customHeight="1" x14ac:dyDescent="0.2">
      <c r="A55" s="15">
        <f>IF(OR(tbAvaliacaoSLA[[#This Row],[Sistema/serviço]]="",A54=0),"",A54)</f>
        <v>46204</v>
      </c>
      <c r="B55" s="29"/>
      <c r="C55" s="16" t="s">
        <v>73</v>
      </c>
      <c r="D55" s="63">
        <v>0.99860000000000004</v>
      </c>
      <c r="E55" s="18">
        <f>IF(tbAvaliacaoSLA[[#This Row],[Competência]]="","",DAY(EOMONTH(tbAvaliacaoSLA[[#This Row],[Competência]],0))*24)</f>
        <v>744</v>
      </c>
      <c r="F55" s="19">
        <v>0</v>
      </c>
      <c r="G55" s="19">
        <v>0</v>
      </c>
      <c r="H55" s="20">
        <f>IF(OR(E55="",D55=""),"",E55*D55)</f>
        <v>742.95839999999998</v>
      </c>
      <c r="I55" s="21">
        <f>IF(OR(E55="",F55="",G55=""),"",E55-F55-G55)</f>
        <v>744</v>
      </c>
      <c r="J55" s="21">
        <f>IF(OR(H55="",F55="",G55=""),"",H55-F55-G55)</f>
        <v>742.95839999999998</v>
      </c>
      <c r="K55" s="24">
        <f>IFERROR(J55/I55,"")</f>
        <v>0.99859999999999993</v>
      </c>
      <c r="L55" s="23">
        <f>IF(tbAvaliacaoSLA[[#This Row],[Competência]]="","",Parâmetros!$B$4)</f>
        <v>0.99</v>
      </c>
      <c r="M55" s="24">
        <f>IF(K55="","",MAX(0,L55-K55))</f>
        <v>0</v>
      </c>
      <c r="N55" s="25">
        <f>IF(M55="","",IF(Parâmetros!$B$7="INICIADA",ROUNDUP(M55/Parâmetros!$B$5,0),ROUNDDOWN(M55/Parâmetros!$B$5,0)))</f>
        <v>0</v>
      </c>
      <c r="O55" s="25">
        <f>IF(N55="","",N55*Parâmetros!$B$6)</f>
        <v>0</v>
      </c>
      <c r="P55" s="26" t="str">
        <f>IF(K55="","",IF(OR(I55&lt;=0,J55&lt;0,J55&gt;I55),"REVISAR DADOS",IF(K55&gt;=L55,"ATENDIDO","NÃO ATENDIDO")))</f>
        <v>ATENDIDO</v>
      </c>
      <c r="Q55" s="16"/>
    </row>
    <row r="56" spans="1:17" ht="15" customHeight="1" x14ac:dyDescent="0.2">
      <c r="A56" s="15">
        <f>IF(OR(tbAvaliacaoSLA[[#This Row],[Sistema/serviço]]="",A55=0),"",A55)</f>
        <v>46204</v>
      </c>
      <c r="B56" s="29"/>
      <c r="C56" s="16" t="s">
        <v>74</v>
      </c>
      <c r="D56" s="63">
        <v>0.99970000000000003</v>
      </c>
      <c r="E56" s="18">
        <f>IF(tbAvaliacaoSLA[[#This Row],[Competência]]="","",DAY(EOMONTH(tbAvaliacaoSLA[[#This Row],[Competência]],0))*24)</f>
        <v>744</v>
      </c>
      <c r="F56" s="19">
        <v>0</v>
      </c>
      <c r="G56" s="19">
        <v>0</v>
      </c>
      <c r="H56" s="20">
        <f>IF(OR(E56="",D56=""),"",E56*D56)</f>
        <v>743.77679999999998</v>
      </c>
      <c r="I56" s="21">
        <f>IF(OR(E56="",F56="",G56=""),"",E56-F56-G56)</f>
        <v>744</v>
      </c>
      <c r="J56" s="21">
        <f>IF(OR(H56="",F56="",G56=""),"",H56-F56-G56)</f>
        <v>743.77679999999998</v>
      </c>
      <c r="K56" s="24">
        <f>IFERROR(J56/I56,"")</f>
        <v>0.99969999999999992</v>
      </c>
      <c r="L56" s="23">
        <f>IF(tbAvaliacaoSLA[[#This Row],[Competência]]="","",Parâmetros!$B$4)</f>
        <v>0.99</v>
      </c>
      <c r="M56" s="24">
        <f>IF(K56="","",MAX(0,L56-K56))</f>
        <v>0</v>
      </c>
      <c r="N56" s="25">
        <f>IF(M56="","",IF(Parâmetros!$B$7="INICIADA",ROUNDUP(M56/Parâmetros!$B$5,0),ROUNDDOWN(M56/Parâmetros!$B$5,0)))</f>
        <v>0</v>
      </c>
      <c r="O56" s="25">
        <f>IF(N56="","",N56*Parâmetros!$B$6)</f>
        <v>0</v>
      </c>
      <c r="P56" s="26" t="str">
        <f>IF(K56="","",IF(OR(I56&lt;=0,J56&lt;0,J56&gt;I56),"REVISAR DADOS",IF(K56&gt;=L56,"ATENDIDO","NÃO ATENDIDO")))</f>
        <v>ATENDIDO</v>
      </c>
      <c r="Q56" s="16"/>
    </row>
    <row r="57" spans="1:17" ht="15" customHeight="1" x14ac:dyDescent="0.2">
      <c r="A57" s="15">
        <f>IF(OR(tbAvaliacaoSLA[[#This Row],[Sistema/serviço]]="",A56=0),"",A56)</f>
        <v>46204</v>
      </c>
      <c r="B57" s="29"/>
      <c r="C57" s="16" t="s">
        <v>75</v>
      </c>
      <c r="D57" s="63">
        <v>0.97870000000000001</v>
      </c>
      <c r="E57" s="18">
        <f>IF(tbAvaliacaoSLA[[#This Row],[Competência]]="","",DAY(EOMONTH(tbAvaliacaoSLA[[#This Row],[Competência]],0))*24)</f>
        <v>744</v>
      </c>
      <c r="F57" s="19">
        <v>0</v>
      </c>
      <c r="G57" s="19">
        <v>0</v>
      </c>
      <c r="H57" s="20">
        <f>IF(OR(E57="",D57=""),"",E57*D57)</f>
        <v>728.15279999999996</v>
      </c>
      <c r="I57" s="21">
        <f>IF(OR(E57="",F57="",G57=""),"",E57-F57-G57)</f>
        <v>744</v>
      </c>
      <c r="J57" s="21">
        <f>IF(OR(H57="",F57="",G57=""),"",H57-F57-G57)</f>
        <v>728.15279999999996</v>
      </c>
      <c r="K57" s="24">
        <f>IFERROR(J57/I57,"")</f>
        <v>0.9786999999999999</v>
      </c>
      <c r="L57" s="23">
        <f>IF(tbAvaliacaoSLA[[#This Row],[Competência]]="","",Parâmetros!$B$4)</f>
        <v>0.99</v>
      </c>
      <c r="M57" s="24">
        <f>IF(K57="","",MAX(0,L57-K57))</f>
        <v>1.1300000000000088E-2</v>
      </c>
      <c r="N57" s="25">
        <f>IF(M57="","",IF(Parâmetros!$B$7="INICIADA",ROUNDUP(M57/Parâmetros!$B$5,0),ROUNDDOWN(M57/Parâmetros!$B$5,0)))</f>
        <v>12</v>
      </c>
      <c r="O57" s="25">
        <f>IF(N57="","",N57*Parâmetros!$B$6)</f>
        <v>3000</v>
      </c>
      <c r="P57" s="26" t="str">
        <f>IF(K57="","",IF(OR(I57&lt;=0,J57&lt;0,J57&gt;I57),"REVISAR DADOS",IF(K57&gt;=L57,"ATENDIDO","NÃO ATENDIDO")))</f>
        <v>NÃO ATENDIDO</v>
      </c>
      <c r="Q57" s="16"/>
    </row>
    <row r="58" spans="1:17" ht="15" customHeight="1" x14ac:dyDescent="0.2">
      <c r="A58" s="15">
        <f>IF(OR(tbAvaliacaoSLA[[#This Row],[Sistema/serviço]]="",A57=0),"",A57)</f>
        <v>46204</v>
      </c>
      <c r="B58" s="29"/>
      <c r="C58" s="16" t="s">
        <v>76</v>
      </c>
      <c r="D58" s="63">
        <v>0.99980000000000002</v>
      </c>
      <c r="E58" s="18">
        <f>IF(tbAvaliacaoSLA[[#This Row],[Competência]]="","",DAY(EOMONTH(tbAvaliacaoSLA[[#This Row],[Competência]],0))*24)</f>
        <v>744</v>
      </c>
      <c r="F58" s="19">
        <v>0</v>
      </c>
      <c r="G58" s="19">
        <v>0</v>
      </c>
      <c r="H58" s="20">
        <f>IF(OR(E58="",D58=""),"",E58*D58)</f>
        <v>743.85120000000006</v>
      </c>
      <c r="I58" s="21">
        <f>IF(OR(E58="",F58="",G58=""),"",E58-F58-G58)</f>
        <v>744</v>
      </c>
      <c r="J58" s="21">
        <f>IF(OR(H58="",F58="",G58=""),"",H58-F58-G58)</f>
        <v>743.85120000000006</v>
      </c>
      <c r="K58" s="24">
        <f>IFERROR(J58/I58,"")</f>
        <v>0.99980000000000013</v>
      </c>
      <c r="L58" s="23">
        <f>IF(tbAvaliacaoSLA[[#This Row],[Competência]]="","",Parâmetros!$B$4)</f>
        <v>0.99</v>
      </c>
      <c r="M58" s="24">
        <f>IF(K58="","",MAX(0,L58-K58))</f>
        <v>0</v>
      </c>
      <c r="N58" s="25">
        <f>IF(M58="","",IF(Parâmetros!$B$7="INICIADA",ROUNDUP(M58/Parâmetros!$B$5,0),ROUNDDOWN(M58/Parâmetros!$B$5,0)))</f>
        <v>0</v>
      </c>
      <c r="O58" s="25">
        <f>IF(N58="","",N58*Parâmetros!$B$6)</f>
        <v>0</v>
      </c>
      <c r="P58" s="26" t="str">
        <f>IF(K58="","",IF(OR(I58&lt;=0,J58&lt;0,J58&gt;I58),"REVISAR DADOS",IF(K58&gt;=L58,"ATENDIDO","NÃO ATENDIDO")))</f>
        <v>ATENDIDO</v>
      </c>
      <c r="Q58" s="16"/>
    </row>
    <row r="59" spans="1:17" ht="15" customHeight="1" x14ac:dyDescent="0.2">
      <c r="A59" s="15">
        <f>IF(OR(tbAvaliacaoSLA[[#This Row],[Sistema/serviço]]="",A58=0),"",A58)</f>
        <v>46204</v>
      </c>
      <c r="B59" s="29"/>
      <c r="C59" s="16" t="s">
        <v>75</v>
      </c>
      <c r="D59" s="63">
        <v>0.97870000000000001</v>
      </c>
      <c r="E59" s="18">
        <f>IF(tbAvaliacaoSLA[[#This Row],[Competência]]="","",DAY(EOMONTH(tbAvaliacaoSLA[[#This Row],[Competência]],0))*24)</f>
        <v>744</v>
      </c>
      <c r="F59" s="19">
        <v>0</v>
      </c>
      <c r="G59" s="19">
        <v>0</v>
      </c>
      <c r="H59" s="20">
        <f>IF(OR(E59="",D59=""),"",E59*D59)</f>
        <v>728.15279999999996</v>
      </c>
      <c r="I59" s="21">
        <f>IF(OR(E59="",F59="",G59=""),"",E59-F59-G59)</f>
        <v>744</v>
      </c>
      <c r="J59" s="21">
        <f>IF(OR(H59="",F59="",G59=""),"",H59-F59-G59)</f>
        <v>728.15279999999996</v>
      </c>
      <c r="K59" s="24">
        <f>IFERROR(J59/I59,"")</f>
        <v>0.9786999999999999</v>
      </c>
      <c r="L59" s="23">
        <f>IF(tbAvaliacaoSLA[[#This Row],[Competência]]="","",Parâmetros!$B$4)</f>
        <v>0.99</v>
      </c>
      <c r="M59" s="24">
        <f>IF(K59="","",MAX(0,L59-K59))</f>
        <v>1.1300000000000088E-2</v>
      </c>
      <c r="N59" s="25">
        <f>IF(M59="","",IF(Parâmetros!$B$7="INICIADA",ROUNDUP(M59/Parâmetros!$B$5,0),ROUNDDOWN(M59/Parâmetros!$B$5,0)))</f>
        <v>12</v>
      </c>
      <c r="O59" s="25">
        <f>IF(N59="","",N59*Parâmetros!$B$6)</f>
        <v>3000</v>
      </c>
      <c r="P59" s="26" t="str">
        <f>IF(K59="","",IF(OR(I59&lt;=0,J59&lt;0,J59&gt;I59),"REVISAR DADOS",IF(K59&gt;=L59,"ATENDIDO","NÃO ATENDIDO")))</f>
        <v>NÃO ATENDIDO</v>
      </c>
      <c r="Q59" s="16"/>
    </row>
    <row r="60" spans="1:17" ht="15" customHeight="1" x14ac:dyDescent="0.2">
      <c r="A60" s="15">
        <f>IF(OR(tbAvaliacaoSLA[[#This Row],[Sistema/serviço]]="",A59=0),"",A59)</f>
        <v>46204</v>
      </c>
      <c r="B60" s="29"/>
      <c r="C60" s="16" t="s">
        <v>76</v>
      </c>
      <c r="D60" s="63">
        <v>0.99980000000000002</v>
      </c>
      <c r="E60" s="18">
        <f>IF(tbAvaliacaoSLA[[#This Row],[Competência]]="","",DAY(EOMONTH(tbAvaliacaoSLA[[#This Row],[Competência]],0))*24)</f>
        <v>744</v>
      </c>
      <c r="F60" s="19">
        <v>0</v>
      </c>
      <c r="G60" s="19">
        <v>0</v>
      </c>
      <c r="H60" s="20">
        <f>IF(OR(E60="",D60=""),"",E60*D60)</f>
        <v>743.85120000000006</v>
      </c>
      <c r="I60" s="21">
        <f>IF(OR(E60="",F60="",G60=""),"",E60-F60-G60)</f>
        <v>744</v>
      </c>
      <c r="J60" s="21">
        <f>IF(OR(H60="",F60="",G60=""),"",H60-F60-G60)</f>
        <v>743.85120000000006</v>
      </c>
      <c r="K60" s="24">
        <f>IFERROR(J60/I60,"")</f>
        <v>0.99980000000000013</v>
      </c>
      <c r="L60" s="23">
        <f>IF(tbAvaliacaoSLA[[#This Row],[Competência]]="","",Parâmetros!$B$4)</f>
        <v>0.99</v>
      </c>
      <c r="M60" s="24">
        <f>IF(K60="","",MAX(0,L60-K60))</f>
        <v>0</v>
      </c>
      <c r="N60" s="25">
        <f>IF(M60="","",IF(Parâmetros!$B$7="INICIADA",ROUNDUP(M60/Parâmetros!$B$5,0),ROUNDDOWN(M60/Parâmetros!$B$5,0)))</f>
        <v>0</v>
      </c>
      <c r="O60" s="25">
        <f>IF(N60="","",N60*Parâmetros!$B$6)</f>
        <v>0</v>
      </c>
      <c r="P60" s="26" t="str">
        <f>IF(K60="","",IF(OR(I60&lt;=0,J60&lt;0,J60&gt;I60),"REVISAR DADOS",IF(K60&gt;=L60,"ATENDIDO","NÃO ATENDIDO")))</f>
        <v>ATENDIDO</v>
      </c>
      <c r="Q60" s="16"/>
    </row>
    <row r="61" spans="1:17" ht="15" customHeight="1" x14ac:dyDescent="0.2">
      <c r="A61" s="15">
        <f>IF(OR(tbAvaliacaoSLA[[#This Row],[Sistema/serviço]]="",A60=0),"",A60)</f>
        <v>46204</v>
      </c>
      <c r="B61" s="29"/>
      <c r="C61" s="16" t="s">
        <v>76</v>
      </c>
      <c r="D61" s="63">
        <v>0.99980000000000002</v>
      </c>
      <c r="E61" s="18">
        <f>IF(tbAvaliacaoSLA[[#This Row],[Competência]]="","",DAY(EOMONTH(tbAvaliacaoSLA[[#This Row],[Competência]],0))*24)</f>
        <v>744</v>
      </c>
      <c r="F61" s="19">
        <v>0</v>
      </c>
      <c r="G61" s="19">
        <v>0</v>
      </c>
      <c r="H61" s="20">
        <f>IF(OR(E61="",D61=""),"",E61*D61)</f>
        <v>743.85120000000006</v>
      </c>
      <c r="I61" s="21">
        <f>IF(OR(E61="",F61="",G61=""),"",E61-F61-G61)</f>
        <v>744</v>
      </c>
      <c r="J61" s="21">
        <f>IF(OR(H61="",F61="",G61=""),"",H61-F61-G61)</f>
        <v>743.85120000000006</v>
      </c>
      <c r="K61" s="24">
        <f>IFERROR(J61/I61,"")</f>
        <v>0.99980000000000013</v>
      </c>
      <c r="L61" s="23">
        <f>IF(tbAvaliacaoSLA[[#This Row],[Competência]]="","",Parâmetros!$B$4)</f>
        <v>0.99</v>
      </c>
      <c r="M61" s="24">
        <f>IF(K61="","",MAX(0,L61-K61))</f>
        <v>0</v>
      </c>
      <c r="N61" s="25">
        <f>IF(M61="","",IF(Parâmetros!$B$7="INICIADA",ROUNDUP(M61/Parâmetros!$B$5,0),ROUNDDOWN(M61/Parâmetros!$B$5,0)))</f>
        <v>0</v>
      </c>
      <c r="O61" s="25">
        <f>IF(N61="","",N61*Parâmetros!$B$6)</f>
        <v>0</v>
      </c>
      <c r="P61" s="26" t="str">
        <f>IF(K61="","",IF(OR(I61&lt;=0,J61&lt;0,J61&gt;I61),"REVISAR DADOS",IF(K61&gt;=L61,"ATENDIDO","NÃO ATENDIDO")))</f>
        <v>ATENDIDO</v>
      </c>
      <c r="Q61" s="16"/>
    </row>
    <row r="62" spans="1:17" ht="15" customHeight="1" x14ac:dyDescent="0.2">
      <c r="A62" s="15">
        <f>IF(OR(tbAvaliacaoSLA[[#This Row],[Sistema/serviço]]="",A61=0),"",A61)</f>
        <v>46204</v>
      </c>
      <c r="B62" s="29"/>
      <c r="C62" s="16" t="s">
        <v>76</v>
      </c>
      <c r="D62" s="63">
        <v>0.99980000000000002</v>
      </c>
      <c r="E62" s="18">
        <f>IF(tbAvaliacaoSLA[[#This Row],[Competência]]="","",DAY(EOMONTH(tbAvaliacaoSLA[[#This Row],[Competência]],0))*24)</f>
        <v>744</v>
      </c>
      <c r="F62" s="19">
        <v>0</v>
      </c>
      <c r="G62" s="19">
        <v>0</v>
      </c>
      <c r="H62" s="20">
        <f>IF(OR(E62="",D62=""),"",E62*D62)</f>
        <v>743.85120000000006</v>
      </c>
      <c r="I62" s="21">
        <f>IF(OR(E62="",F62="",G62=""),"",E62-F62-G62)</f>
        <v>744</v>
      </c>
      <c r="J62" s="21">
        <f>IF(OR(H62="",F62="",G62=""),"",H62-F62-G62)</f>
        <v>743.85120000000006</v>
      </c>
      <c r="K62" s="24">
        <f>IFERROR(J62/I62,"")</f>
        <v>0.99980000000000013</v>
      </c>
      <c r="L62" s="23">
        <f>IF(tbAvaliacaoSLA[[#This Row],[Competência]]="","",Parâmetros!$B$4)</f>
        <v>0.99</v>
      </c>
      <c r="M62" s="24">
        <f>IF(K62="","",MAX(0,L62-K62))</f>
        <v>0</v>
      </c>
      <c r="N62" s="25">
        <f>IF(M62="","",IF(Parâmetros!$B$7="INICIADA",ROUNDUP(M62/Parâmetros!$B$5,0),ROUNDDOWN(M62/Parâmetros!$B$5,0)))</f>
        <v>0</v>
      </c>
      <c r="O62" s="25">
        <f>IF(N62="","",N62*Parâmetros!$B$6)</f>
        <v>0</v>
      </c>
      <c r="P62" s="26" t="str">
        <f>IF(K62="","",IF(OR(I62&lt;=0,J62&lt;0,J62&gt;I62),"REVISAR DADOS",IF(K62&gt;=L62,"ATENDIDO","NÃO ATENDIDO")))</f>
        <v>ATENDIDO</v>
      </c>
      <c r="Q62" s="16"/>
    </row>
    <row r="63" spans="1:17" ht="15" customHeight="1" x14ac:dyDescent="0.2">
      <c r="A63" s="15" t="str">
        <f>IF(OR(tbAvaliacaoSLA[[#This Row],[Sistema/serviço]]="",A62=0),"",A62)</f>
        <v/>
      </c>
      <c r="B63" s="29"/>
      <c r="C63" s="16"/>
      <c r="D63" s="63"/>
      <c r="E63" s="18" t="str">
        <f>IF(tbAvaliacaoSLA[[#This Row],[Competência]]="","",DAY(EOMONTH(tbAvaliacaoSLA[[#This Row],[Competência]],0))*24)</f>
        <v/>
      </c>
      <c r="F63" s="19">
        <v>0</v>
      </c>
      <c r="G63" s="19">
        <v>0</v>
      </c>
      <c r="H63" s="20" t="str">
        <f>IF(OR(E63="",D63=""),"",E63*D63)</f>
        <v/>
      </c>
      <c r="I63" s="21" t="str">
        <f>IF(OR(E63="",F63="",G63=""),"",E63-F63-G63)</f>
        <v/>
      </c>
      <c r="J63" s="21" t="str">
        <f>IF(OR(H63="",F63="",G63=""),"",H63-F63-G63)</f>
        <v/>
      </c>
      <c r="K63" s="24" t="str">
        <f>IFERROR(J63/I63,"")</f>
        <v/>
      </c>
      <c r="L63" s="23" t="str">
        <f>IF(tbAvaliacaoSLA[[#This Row],[Competência]]="","",Parâmetros!$B$4)</f>
        <v/>
      </c>
      <c r="M63" s="24" t="str">
        <f>IF(K63="","",MAX(0,L63-K63))</f>
        <v/>
      </c>
      <c r="N63" s="25" t="str">
        <f>IF(M63="","",IF(Parâmetros!$B$7="INICIADA",ROUNDUP(M63/Parâmetros!$B$5,0),ROUNDDOWN(M63/Parâmetros!$B$5,0)))</f>
        <v/>
      </c>
      <c r="O63" s="25" t="str">
        <f>IF(N63="","",N63*Parâmetros!$B$6)</f>
        <v/>
      </c>
      <c r="P63" s="26" t="str">
        <f>IF(K63="","",IF(OR(I63&lt;=0,J63&lt;0,J63&gt;I63),"REVISAR DADOS",IF(K63&gt;=L63,"ATENDIDO","NÃO ATENDIDO")))</f>
        <v/>
      </c>
      <c r="Q63" s="16"/>
    </row>
    <row r="64" spans="1:17" ht="15" customHeight="1" x14ac:dyDescent="0.2">
      <c r="A64" s="15" t="str">
        <f>IF(OR(tbAvaliacaoSLA[[#This Row],[Sistema/serviço]]="",A63=0),"",A63)</f>
        <v/>
      </c>
      <c r="B64" s="29"/>
      <c r="C64" s="16"/>
      <c r="D64" s="63"/>
      <c r="E64" s="18" t="str">
        <f>IF(tbAvaliacaoSLA[[#This Row],[Competência]]="","",DAY(EOMONTH(tbAvaliacaoSLA[[#This Row],[Competência]],0))*24)</f>
        <v/>
      </c>
      <c r="F64" s="19">
        <v>0</v>
      </c>
      <c r="G64" s="19">
        <v>0</v>
      </c>
      <c r="H64" s="20" t="str">
        <f>IF(OR(E64="",D64=""),"",E64*D64)</f>
        <v/>
      </c>
      <c r="I64" s="21" t="str">
        <f>IF(OR(E64="",F64="",G64=""),"",E64-F64-G64)</f>
        <v/>
      </c>
      <c r="J64" s="21" t="str">
        <f>IF(OR(H64="",F64="",G64=""),"",H64-F64-G64)</f>
        <v/>
      </c>
      <c r="K64" s="24" t="str">
        <f>IFERROR(J64/I64,"")</f>
        <v/>
      </c>
      <c r="L64" s="23" t="str">
        <f>IF(tbAvaliacaoSLA[[#This Row],[Competência]]="","",Parâmetros!$B$4)</f>
        <v/>
      </c>
      <c r="M64" s="24" t="str">
        <f>IF(K64="","",MAX(0,L64-K64))</f>
        <v/>
      </c>
      <c r="N64" s="25" t="str">
        <f>IF(M64="","",IF(Parâmetros!$B$7="INICIADA",ROUNDUP(M64/Parâmetros!$B$5,0),ROUNDDOWN(M64/Parâmetros!$B$5,0)))</f>
        <v/>
      </c>
      <c r="O64" s="25" t="str">
        <f>IF(N64="","",N64*Parâmetros!$B$6)</f>
        <v/>
      </c>
      <c r="P64" s="26" t="str">
        <f>IF(K64="","",IF(OR(I64&lt;=0,J64&lt;0,J64&gt;I64),"REVISAR DADOS",IF(K64&gt;=L64,"ATENDIDO","NÃO ATENDIDO")))</f>
        <v/>
      </c>
      <c r="Q64" s="16"/>
    </row>
    <row r="65" spans="1:17" ht="15" customHeight="1" x14ac:dyDescent="0.2">
      <c r="A65" s="15" t="str">
        <f>IF(OR(tbAvaliacaoSLA[[#This Row],[Sistema/serviço]]="",A64=0),"",A64)</f>
        <v/>
      </c>
      <c r="B65" s="29"/>
      <c r="C65" s="16"/>
      <c r="D65" s="63"/>
      <c r="E65" s="18" t="str">
        <f>IF(tbAvaliacaoSLA[[#This Row],[Competência]]="","",DAY(EOMONTH(tbAvaliacaoSLA[[#This Row],[Competência]],0))*24)</f>
        <v/>
      </c>
      <c r="F65" s="19">
        <v>0</v>
      </c>
      <c r="G65" s="19">
        <v>0</v>
      </c>
      <c r="H65" s="20" t="str">
        <f>IF(OR(E65="",D65=""),"",E65*D65)</f>
        <v/>
      </c>
      <c r="I65" s="21" t="str">
        <f>IF(OR(E65="",F65="",G65=""),"",E65-F65-G65)</f>
        <v/>
      </c>
      <c r="J65" s="21" t="str">
        <f>IF(OR(H65="",F65="",G65=""),"",H65-F65-G65)</f>
        <v/>
      </c>
      <c r="K65" s="24" t="str">
        <f>IFERROR(J65/I65,"")</f>
        <v/>
      </c>
      <c r="L65" s="23" t="str">
        <f>IF(tbAvaliacaoSLA[[#This Row],[Competência]]="","",Parâmetros!$B$4)</f>
        <v/>
      </c>
      <c r="M65" s="24" t="str">
        <f>IF(K65="","",MAX(0,L65-K65))</f>
        <v/>
      </c>
      <c r="N65" s="25" t="str">
        <f>IF(M65="","",IF(Parâmetros!$B$7="INICIADA",ROUNDUP(M65/Parâmetros!$B$5,0),ROUNDDOWN(M65/Parâmetros!$B$5,0)))</f>
        <v/>
      </c>
      <c r="O65" s="25" t="str">
        <f>IF(N65="","",N65*Parâmetros!$B$6)</f>
        <v/>
      </c>
      <c r="P65" s="26" t="str">
        <f>IF(K65="","",IF(OR(I65&lt;=0,J65&lt;0,J65&gt;I65),"REVISAR DADOS",IF(K65&gt;=L65,"ATENDIDO","NÃO ATENDIDO")))</f>
        <v/>
      </c>
      <c r="Q65" s="16"/>
    </row>
    <row r="66" spans="1:17" ht="15" customHeight="1" x14ac:dyDescent="0.2">
      <c r="A66" s="15" t="str">
        <f>IF(OR(tbAvaliacaoSLA[[#This Row],[Sistema/serviço]]="",A65=0),"",A65)</f>
        <v/>
      </c>
      <c r="B66" s="29"/>
      <c r="C66" s="16"/>
      <c r="D66" s="63"/>
      <c r="E66" s="18" t="str">
        <f>IF(tbAvaliacaoSLA[[#This Row],[Competência]]="","",DAY(EOMONTH(tbAvaliacaoSLA[[#This Row],[Competência]],0))*24)</f>
        <v/>
      </c>
      <c r="F66" s="19">
        <v>0</v>
      </c>
      <c r="G66" s="19">
        <v>0</v>
      </c>
      <c r="H66" s="20" t="str">
        <f>IF(OR(E66="",D66=""),"",E66*D66)</f>
        <v/>
      </c>
      <c r="I66" s="21" t="str">
        <f>IF(OR(E66="",F66="",G66=""),"",E66-F66-G66)</f>
        <v/>
      </c>
      <c r="J66" s="21" t="str">
        <f>IF(OR(H66="",F66="",G66=""),"",H66-F66-G66)</f>
        <v/>
      </c>
      <c r="K66" s="24" t="str">
        <f>IFERROR(J66/I66,"")</f>
        <v/>
      </c>
      <c r="L66" s="23" t="str">
        <f>IF(tbAvaliacaoSLA[[#This Row],[Competência]]="","",Parâmetros!$B$4)</f>
        <v/>
      </c>
      <c r="M66" s="24" t="str">
        <f>IF(K66="","",MAX(0,L66-K66))</f>
        <v/>
      </c>
      <c r="N66" s="25" t="str">
        <f>IF(M66="","",IF(Parâmetros!$B$7="INICIADA",ROUNDUP(M66/Parâmetros!$B$5,0),ROUNDDOWN(M66/Parâmetros!$B$5,0)))</f>
        <v/>
      </c>
      <c r="O66" s="25" t="str">
        <f>IF(N66="","",N66*Parâmetros!$B$6)</f>
        <v/>
      </c>
      <c r="P66" s="26" t="str">
        <f>IF(K66="","",IF(OR(I66&lt;=0,J66&lt;0,J66&gt;I66),"REVISAR DADOS",IF(K66&gt;=L66,"ATENDIDO","NÃO ATENDIDO")))</f>
        <v/>
      </c>
      <c r="Q66" s="16"/>
    </row>
    <row r="67" spans="1:17" ht="15" customHeight="1" x14ac:dyDescent="0.2">
      <c r="A67" s="15" t="str">
        <f>IF(OR(tbAvaliacaoSLA[[#This Row],[Sistema/serviço]]="",A66=0),"",A66)</f>
        <v/>
      </c>
      <c r="B67" s="29"/>
      <c r="C67" s="16"/>
      <c r="D67" s="60"/>
      <c r="E67" s="18" t="str">
        <f>IF(tbAvaliacaoSLA[[#This Row],[Competência]]="","",DAY(EOMONTH(tbAvaliacaoSLA[[#This Row],[Competência]],0))*24)</f>
        <v/>
      </c>
      <c r="F67" s="19">
        <v>0</v>
      </c>
      <c r="G67" s="19">
        <v>0</v>
      </c>
      <c r="H67" s="20" t="str">
        <f>IF(OR(E67="",D67=""),"",E67*D67)</f>
        <v/>
      </c>
      <c r="I67" s="21" t="str">
        <f>IF(OR(E67="",F67="",G67=""),"",E67-F67-G67)</f>
        <v/>
      </c>
      <c r="J67" s="21" t="str">
        <f>IF(OR(H67="",F67="",G67=""),"",H67-F67-G67)</f>
        <v/>
      </c>
      <c r="K67" s="24" t="str">
        <f>IFERROR(J67/I67,"")</f>
        <v/>
      </c>
      <c r="L67" s="23" t="str">
        <f>IF(tbAvaliacaoSLA[[#This Row],[Competência]]="","",Parâmetros!$B$4)</f>
        <v/>
      </c>
      <c r="M67" s="24" t="str">
        <f>IF(K67="","",MAX(0,L67-K67))</f>
        <v/>
      </c>
      <c r="N67" s="25" t="str">
        <f>IF(M67="","",IF(Parâmetros!$B$7="INICIADA",ROUNDUP(M67/Parâmetros!$B$5,0),ROUNDDOWN(M67/Parâmetros!$B$5,0)))</f>
        <v/>
      </c>
      <c r="O67" s="25" t="str">
        <f>IF(N67="","",N67*Parâmetros!$B$6)</f>
        <v/>
      </c>
      <c r="P67" s="26" t="str">
        <f>IF(K67="","",IF(OR(I67&lt;=0,J67&lt;0,J67&gt;I67),"REVISAR DADOS",IF(K67&gt;=L67,"ATENDIDO","NÃO ATENDIDO")))</f>
        <v/>
      </c>
      <c r="Q67" s="16"/>
    </row>
    <row r="68" spans="1:17" ht="15" customHeight="1" x14ac:dyDescent="0.2">
      <c r="A68" s="15" t="str">
        <f>IF(OR(tbAvaliacaoSLA[[#This Row],[Sistema/serviço]]="",A67=0),"",A67)</f>
        <v/>
      </c>
      <c r="B68" s="29"/>
      <c r="C68" s="16"/>
      <c r="D68" s="60"/>
      <c r="E68" s="18" t="str">
        <f>IF(tbAvaliacaoSLA[[#This Row],[Competência]]="","",DAY(EOMONTH(tbAvaliacaoSLA[[#This Row],[Competência]],0))*24)</f>
        <v/>
      </c>
      <c r="F68" s="19">
        <v>0</v>
      </c>
      <c r="G68" s="19">
        <v>0</v>
      </c>
      <c r="H68" s="20" t="str">
        <f>IF(OR(E68="",D68=""),"",E68*D68)</f>
        <v/>
      </c>
      <c r="I68" s="21" t="str">
        <f>IF(OR(E68="",F68="",G68=""),"",E68-F68-G68)</f>
        <v/>
      </c>
      <c r="J68" s="21" t="str">
        <f>IF(OR(H68="",F68="",G68=""),"",H68-F68-G68)</f>
        <v/>
      </c>
      <c r="K68" s="24" t="str">
        <f>IFERROR(J68/I68,"")</f>
        <v/>
      </c>
      <c r="L68" s="23" t="str">
        <f>IF(tbAvaliacaoSLA[[#This Row],[Competência]]="","",Parâmetros!$B$4)</f>
        <v/>
      </c>
      <c r="M68" s="24" t="str">
        <f>IF(K68="","",MAX(0,L68-K68))</f>
        <v/>
      </c>
      <c r="N68" s="25" t="str">
        <f>IF(M68="","",IF(Parâmetros!$B$7="INICIADA",ROUNDUP(M68/Parâmetros!$B$5,0),ROUNDDOWN(M68/Parâmetros!$B$5,0)))</f>
        <v/>
      </c>
      <c r="O68" s="25" t="str">
        <f>IF(N68="","",N68*Parâmetros!$B$6)</f>
        <v/>
      </c>
      <c r="P68" s="26" t="str">
        <f>IF(K68="","",IF(OR(I68&lt;=0,J68&lt;0,J68&gt;I68),"REVISAR DADOS",IF(K68&gt;=L68,"ATENDIDO","NÃO ATENDIDO")))</f>
        <v/>
      </c>
      <c r="Q68" s="16"/>
    </row>
    <row r="69" spans="1:17" ht="15" customHeight="1" x14ac:dyDescent="0.2">
      <c r="A69" s="29"/>
      <c r="B69" s="29"/>
      <c r="C69" s="16"/>
      <c r="D69" s="60"/>
      <c r="E69" s="18" t="str">
        <f>IF(tbAvaliacaoSLA[[#This Row],[Competência]]="","",DAY(EOMONTH(tbAvaliacaoSLA[[#This Row],[Competência]],0))*24)</f>
        <v/>
      </c>
      <c r="F69" s="19"/>
      <c r="G69" s="19">
        <v>0</v>
      </c>
      <c r="H69" s="20" t="str">
        <f>IF(OR(E69="",D69=""),"",E69*D69)</f>
        <v/>
      </c>
      <c r="I69" s="21" t="str">
        <f>IF(OR(E69="",F69="",G69=""),"",E69-F69-G69)</f>
        <v/>
      </c>
      <c r="J69" s="21" t="str">
        <f>IF(OR(H69="",F69="",G69=""),"",H69-F69-G69)</f>
        <v/>
      </c>
      <c r="K69" s="24" t="str">
        <f>IFERROR(J69/I69,"")</f>
        <v/>
      </c>
      <c r="L69" s="23" t="str">
        <f>IF(tbAvaliacaoSLA[[#This Row],[Competência]]="","",Parâmetros!$B$4)</f>
        <v/>
      </c>
      <c r="M69" s="24" t="str">
        <f>IF(K69="","",MAX(0,L69-K69))</f>
        <v/>
      </c>
      <c r="N69" s="25" t="str">
        <f>IF(M69="","",IF(Parâmetros!$B$7="INICIADA",ROUNDUP(M69/Parâmetros!$B$5,0),ROUNDDOWN(M69/Parâmetros!$B$5,0)))</f>
        <v/>
      </c>
      <c r="O69" s="25" t="str">
        <f>IF(N69="","",N69*Parâmetros!$B$6)</f>
        <v/>
      </c>
      <c r="P69" s="26" t="str">
        <f>IF(K69="","",IF(OR(I69&lt;=0,J69&lt;0,J69&gt;I69),"REVISAR DADOS",IF(K69&gt;=L69,"ATENDIDO","NÃO ATENDIDO")))</f>
        <v/>
      </c>
      <c r="Q69" s="16"/>
    </row>
    <row r="70" spans="1:17" ht="15" customHeight="1" x14ac:dyDescent="0.2">
      <c r="A70" s="29"/>
      <c r="B70" s="29"/>
      <c r="C70" s="16"/>
      <c r="D70" s="60"/>
      <c r="E70" s="18" t="str">
        <f>IF(tbAvaliacaoSLA[[#This Row],[Competência]]="","",DAY(EOMONTH(tbAvaliacaoSLA[[#This Row],[Competência]],0))*24)</f>
        <v/>
      </c>
      <c r="F70" s="19"/>
      <c r="G70" s="19">
        <v>0</v>
      </c>
      <c r="H70" s="20" t="str">
        <f>IF(OR(E70="",D70=""),"",E70*D70)</f>
        <v/>
      </c>
      <c r="I70" s="21" t="str">
        <f>IF(OR(E70="",F70="",G70=""),"",E70-F70-G70)</f>
        <v/>
      </c>
      <c r="J70" s="21" t="str">
        <f>IF(OR(H70="",F70="",G70=""),"",H70-F70-G70)</f>
        <v/>
      </c>
      <c r="K70" s="24" t="str">
        <f>IFERROR(J70/I70,"")</f>
        <v/>
      </c>
      <c r="L70" s="23" t="str">
        <f>IF(tbAvaliacaoSLA[[#This Row],[Competência]]="","",Parâmetros!$B$4)</f>
        <v/>
      </c>
      <c r="M70" s="24" t="str">
        <f>IF(K70="","",MAX(0,L70-K70))</f>
        <v/>
      </c>
      <c r="N70" s="25" t="str">
        <f>IF(M70="","",IF(Parâmetros!$B$7="INICIADA",ROUNDUP(M70/Parâmetros!$B$5,0),ROUNDDOWN(M70/Parâmetros!$B$5,0)))</f>
        <v/>
      </c>
      <c r="O70" s="25" t="str">
        <f>IF(N70="","",N70*Parâmetros!$B$6)</f>
        <v/>
      </c>
      <c r="P70" s="26" t="str">
        <f>IF(K70="","",IF(OR(I70&lt;=0,J70&lt;0,J70&gt;I70),"REVISAR DADOS",IF(K70&gt;=L70,"ATENDIDO","NÃO ATENDIDO")))</f>
        <v/>
      </c>
      <c r="Q70" s="16"/>
    </row>
    <row r="71" spans="1:17" ht="15" customHeight="1" x14ac:dyDescent="0.2">
      <c r="A71" s="29"/>
      <c r="B71" s="29"/>
      <c r="C71" s="16"/>
      <c r="D71" s="60"/>
      <c r="E71" s="18" t="str">
        <f>IF(tbAvaliacaoSLA[[#This Row],[Competência]]="","",DAY(EOMONTH(tbAvaliacaoSLA[[#This Row],[Competência]],0))*24)</f>
        <v/>
      </c>
      <c r="F71" s="19"/>
      <c r="G71" s="19">
        <v>0</v>
      </c>
      <c r="H71" s="20" t="str">
        <f>IF(OR(E71="",D71=""),"",E71*D71)</f>
        <v/>
      </c>
      <c r="I71" s="21" t="str">
        <f>IF(OR(E71="",F71="",G71=""),"",E71-F71-G71)</f>
        <v/>
      </c>
      <c r="J71" s="21" t="str">
        <f>IF(OR(H71="",F71="",G71=""),"",H71-F71-G71)</f>
        <v/>
      </c>
      <c r="K71" s="24" t="str">
        <f>IFERROR(J71/I71,"")</f>
        <v/>
      </c>
      <c r="L71" s="23" t="str">
        <f>IF(tbAvaliacaoSLA[[#This Row],[Competência]]="","",Parâmetros!$B$4)</f>
        <v/>
      </c>
      <c r="M71" s="24" t="str">
        <f>IF(K71="","",MAX(0,L71-K71))</f>
        <v/>
      </c>
      <c r="N71" s="25" t="str">
        <f>IF(M71="","",IF(Parâmetros!$B$7="INICIADA",ROUNDUP(M71/Parâmetros!$B$5,0),ROUNDDOWN(M71/Parâmetros!$B$5,0)))</f>
        <v/>
      </c>
      <c r="O71" s="25" t="str">
        <f>IF(N71="","",N71*Parâmetros!$B$6)</f>
        <v/>
      </c>
      <c r="P71" s="26" t="str">
        <f>IF(K71="","",IF(OR(I71&lt;=0,J71&lt;0,J71&gt;I71),"REVISAR DADOS",IF(K71&gt;=L71,"ATENDIDO","NÃO ATENDIDO")))</f>
        <v/>
      </c>
      <c r="Q71" s="16"/>
    </row>
    <row r="72" spans="1:17" ht="15" customHeight="1" x14ac:dyDescent="0.2">
      <c r="A72" s="29"/>
      <c r="B72" s="29"/>
      <c r="C72" s="16"/>
      <c r="D72" s="60"/>
      <c r="E72" s="18" t="str">
        <f>IF(tbAvaliacaoSLA[[#This Row],[Competência]]="","",DAY(EOMONTH(tbAvaliacaoSLA[[#This Row],[Competência]],0))*24)</f>
        <v/>
      </c>
      <c r="F72" s="19"/>
      <c r="G72" s="19">
        <v>0</v>
      </c>
      <c r="H72" s="20" t="str">
        <f>IF(OR(E72="",D72=""),"",E72*D72)</f>
        <v/>
      </c>
      <c r="I72" s="21" t="str">
        <f>IF(OR(E72="",F72="",G72=""),"",E72-F72-G72)</f>
        <v/>
      </c>
      <c r="J72" s="21" t="str">
        <f>IF(OR(H72="",F72="",G72=""),"",H72-F72-G72)</f>
        <v/>
      </c>
      <c r="K72" s="24" t="str">
        <f>IFERROR(J72/I72,"")</f>
        <v/>
      </c>
      <c r="L72" s="23" t="str">
        <f>IF(tbAvaliacaoSLA[[#This Row],[Competência]]="","",Parâmetros!$B$4)</f>
        <v/>
      </c>
      <c r="M72" s="24" t="str">
        <f>IF(K72="","",MAX(0,L72-K72))</f>
        <v/>
      </c>
      <c r="N72" s="25" t="str">
        <f>IF(M72="","",IF(Parâmetros!$B$7="INICIADA",ROUNDUP(M72/Parâmetros!$B$5,0),ROUNDDOWN(M72/Parâmetros!$B$5,0)))</f>
        <v/>
      </c>
      <c r="O72" s="25" t="str">
        <f>IF(N72="","",N72*Parâmetros!$B$6)</f>
        <v/>
      </c>
      <c r="P72" s="26" t="str">
        <f>IF(K72="","",IF(OR(I72&lt;=0,J72&lt;0,J72&gt;I72),"REVISAR DADOS",IF(K72&gt;=L72,"ATENDIDO","NÃO ATENDIDO")))</f>
        <v/>
      </c>
      <c r="Q72" s="16"/>
    </row>
    <row r="73" spans="1:17" ht="15" customHeight="1" x14ac:dyDescent="0.2">
      <c r="A73" s="29"/>
      <c r="B73" s="29"/>
      <c r="C73" s="16"/>
      <c r="D73" s="60"/>
      <c r="E73" s="18" t="str">
        <f>IF(tbAvaliacaoSLA[[#This Row],[Competência]]="","",DAY(EOMONTH(tbAvaliacaoSLA[[#This Row],[Competência]],0))*24)</f>
        <v/>
      </c>
      <c r="F73" s="19"/>
      <c r="G73" s="19">
        <v>0</v>
      </c>
      <c r="H73" s="20" t="str">
        <f>IF(OR(E73="",D73=""),"",E73*D73)</f>
        <v/>
      </c>
      <c r="I73" s="21" t="str">
        <f>IF(OR(E73="",F73="",G73=""),"",E73-F73-G73)</f>
        <v/>
      </c>
      <c r="J73" s="21" t="str">
        <f>IF(OR(H73="",F73="",G73=""),"",H73-F73-G73)</f>
        <v/>
      </c>
      <c r="K73" s="24" t="str">
        <f>IFERROR(J73/I73,"")</f>
        <v/>
      </c>
      <c r="L73" s="23" t="str">
        <f>IF(tbAvaliacaoSLA[[#This Row],[Competência]]="","",Parâmetros!$B$4)</f>
        <v/>
      </c>
      <c r="M73" s="24" t="str">
        <f>IF(K73="","",MAX(0,L73-K73))</f>
        <v/>
      </c>
      <c r="N73" s="25" t="str">
        <f>IF(M73="","",IF(Parâmetros!$B$7="INICIADA",ROUNDUP(M73/Parâmetros!$B$5,0),ROUNDDOWN(M73/Parâmetros!$B$5,0)))</f>
        <v/>
      </c>
      <c r="O73" s="25" t="str">
        <f>IF(N73="","",N73*Parâmetros!$B$6)</f>
        <v/>
      </c>
      <c r="P73" s="26" t="str">
        <f>IF(K73="","",IF(OR(I73&lt;=0,J73&lt;0,J73&gt;I73),"REVISAR DADOS",IF(K73&gt;=L73,"ATENDIDO","NÃO ATENDIDO")))</f>
        <v/>
      </c>
      <c r="Q73" s="16"/>
    </row>
    <row r="74" spans="1:17" ht="15" customHeight="1" x14ac:dyDescent="0.2">
      <c r="A74" s="29"/>
      <c r="B74" s="29"/>
      <c r="C74" s="16"/>
      <c r="D74" s="60"/>
      <c r="E74" s="18" t="str">
        <f>IF(tbAvaliacaoSLA[[#This Row],[Competência]]="","",DAY(EOMONTH(tbAvaliacaoSLA[[#This Row],[Competência]],0))*24)</f>
        <v/>
      </c>
      <c r="F74" s="19"/>
      <c r="G74" s="19">
        <v>0</v>
      </c>
      <c r="H74" s="20" t="str">
        <f>IF(OR(E74="",D74=""),"",E74*D74)</f>
        <v/>
      </c>
      <c r="I74" s="21" t="str">
        <f>IF(OR(E74="",F74="",G74=""),"",E74-F74-G74)</f>
        <v/>
      </c>
      <c r="J74" s="21" t="str">
        <f>IF(OR(H74="",F74="",G74=""),"",H74-F74-G74)</f>
        <v/>
      </c>
      <c r="K74" s="24" t="str">
        <f>IFERROR(J74/I74,"")</f>
        <v/>
      </c>
      <c r="L74" s="23" t="str">
        <f>IF(tbAvaliacaoSLA[[#This Row],[Competência]]="","",Parâmetros!$B$4)</f>
        <v/>
      </c>
      <c r="M74" s="24" t="str">
        <f>IF(K74="","",MAX(0,L74-K74))</f>
        <v/>
      </c>
      <c r="N74" s="25" t="str">
        <f>IF(M74="","",IF(Parâmetros!$B$7="INICIADA",ROUNDUP(M74/Parâmetros!$B$5,0),ROUNDDOWN(M74/Parâmetros!$B$5,0)))</f>
        <v/>
      </c>
      <c r="O74" s="25" t="str">
        <f>IF(N74="","",N74*Parâmetros!$B$6)</f>
        <v/>
      </c>
      <c r="P74" s="26" t="str">
        <f>IF(K74="","",IF(OR(I74&lt;=0,J74&lt;0,J74&gt;I74),"REVISAR DADOS",IF(K74&gt;=L74,"ATENDIDO","NÃO ATENDIDO")))</f>
        <v/>
      </c>
      <c r="Q74" s="16"/>
    </row>
    <row r="75" spans="1:17" ht="15" customHeight="1" x14ac:dyDescent="0.2">
      <c r="A75" s="29"/>
      <c r="B75" s="29"/>
      <c r="C75" s="16"/>
      <c r="D75" s="60"/>
      <c r="E75" s="18" t="str">
        <f>IF(tbAvaliacaoSLA[[#This Row],[Competência]]="","",DAY(EOMONTH(tbAvaliacaoSLA[[#This Row],[Competência]],0))*24)</f>
        <v/>
      </c>
      <c r="F75" s="19"/>
      <c r="G75" s="19">
        <v>0</v>
      </c>
      <c r="H75" s="20" t="str">
        <f>IF(OR(E75="",D75=""),"",E75*D75)</f>
        <v/>
      </c>
      <c r="I75" s="21" t="str">
        <f>IF(OR(E75="",F75="",G75=""),"",E75-F75-G75)</f>
        <v/>
      </c>
      <c r="J75" s="21" t="str">
        <f>IF(OR(H75="",F75="",G75=""),"",H75-F75-G75)</f>
        <v/>
      </c>
      <c r="K75" s="24" t="str">
        <f>IFERROR(J75/I75,"")</f>
        <v/>
      </c>
      <c r="L75" s="23" t="str">
        <f>IF(tbAvaliacaoSLA[[#This Row],[Competência]]="","",Parâmetros!$B$4)</f>
        <v/>
      </c>
      <c r="M75" s="24" t="str">
        <f>IF(K75="","",MAX(0,L75-K75))</f>
        <v/>
      </c>
      <c r="N75" s="25" t="str">
        <f>IF(M75="","",IF(Parâmetros!$B$7="INICIADA",ROUNDUP(M75/Parâmetros!$B$5,0),ROUNDDOWN(M75/Parâmetros!$B$5,0)))</f>
        <v/>
      </c>
      <c r="O75" s="25" t="str">
        <f>IF(N75="","",N75*Parâmetros!$B$6)</f>
        <v/>
      </c>
      <c r="P75" s="26" t="str">
        <f>IF(K75="","",IF(OR(I75&lt;=0,J75&lt;0,J75&gt;I75),"REVISAR DADOS",IF(K75&gt;=L75,"ATENDIDO","NÃO ATENDIDO")))</f>
        <v/>
      </c>
      <c r="Q75" s="16"/>
    </row>
    <row r="76" spans="1:17" ht="15" customHeight="1" x14ac:dyDescent="0.2">
      <c r="A76" s="29"/>
      <c r="B76" s="29"/>
      <c r="C76" s="16"/>
      <c r="D76" s="60"/>
      <c r="E76" s="18" t="str">
        <f>IF(tbAvaliacaoSLA[[#This Row],[Competência]]="","",DAY(EOMONTH(tbAvaliacaoSLA[[#This Row],[Competência]],0))*24)</f>
        <v/>
      </c>
      <c r="F76" s="19"/>
      <c r="G76" s="19">
        <v>0</v>
      </c>
      <c r="H76" s="20" t="str">
        <f>IF(OR(E76="",D76=""),"",E76*D76)</f>
        <v/>
      </c>
      <c r="I76" s="21" t="str">
        <f>IF(OR(E76="",F76="",G76=""),"",E76-F76-G76)</f>
        <v/>
      </c>
      <c r="J76" s="21" t="str">
        <f>IF(OR(H76="",F76="",G76=""),"",H76-F76-G76)</f>
        <v/>
      </c>
      <c r="K76" s="24" t="str">
        <f>IFERROR(J76/I76,"")</f>
        <v/>
      </c>
      <c r="L76" s="23" t="str">
        <f>IF(tbAvaliacaoSLA[[#This Row],[Competência]]="","",Parâmetros!$B$4)</f>
        <v/>
      </c>
      <c r="M76" s="24" t="str">
        <f>IF(K76="","",MAX(0,L76-K76))</f>
        <v/>
      </c>
      <c r="N76" s="25" t="str">
        <f>IF(M76="","",IF(Parâmetros!$B$7="INICIADA",ROUNDUP(M76/Parâmetros!$B$5,0),ROUNDDOWN(M76/Parâmetros!$B$5,0)))</f>
        <v/>
      </c>
      <c r="O76" s="25" t="str">
        <f>IF(N76="","",N76*Parâmetros!$B$6)</f>
        <v/>
      </c>
      <c r="P76" s="26" t="str">
        <f>IF(K76="","",IF(OR(I76&lt;=0,J76&lt;0,J76&gt;I76),"REVISAR DADOS",IF(K76&gt;=L76,"ATENDIDO","NÃO ATENDIDO")))</f>
        <v/>
      </c>
      <c r="Q76" s="16"/>
    </row>
    <row r="77" spans="1:17" ht="15" customHeight="1" x14ac:dyDescent="0.2">
      <c r="A77" s="29"/>
      <c r="B77" s="29"/>
      <c r="C77" s="16"/>
      <c r="D77" s="60"/>
      <c r="E77" s="18" t="str">
        <f>IF(tbAvaliacaoSLA[[#This Row],[Competência]]="","",DAY(EOMONTH(tbAvaliacaoSLA[[#This Row],[Competência]],0))*24)</f>
        <v/>
      </c>
      <c r="F77" s="19"/>
      <c r="G77" s="19">
        <v>0</v>
      </c>
      <c r="H77" s="20" t="str">
        <f>IF(OR(E77="",D77=""),"",E77*D77)</f>
        <v/>
      </c>
      <c r="I77" s="21" t="str">
        <f>IF(OR(E77="",F77="",G77=""),"",E77-F77-G77)</f>
        <v/>
      </c>
      <c r="J77" s="21" t="str">
        <f>IF(OR(H77="",F77="",G77=""),"",H77-F77-G77)</f>
        <v/>
      </c>
      <c r="K77" s="24" t="str">
        <f>IFERROR(J77/I77,"")</f>
        <v/>
      </c>
      <c r="L77" s="23" t="str">
        <f>IF(tbAvaliacaoSLA[[#This Row],[Competência]]="","",Parâmetros!$B$4)</f>
        <v/>
      </c>
      <c r="M77" s="24" t="str">
        <f>IF(K77="","",MAX(0,L77-K77))</f>
        <v/>
      </c>
      <c r="N77" s="25" t="str">
        <f>IF(M77="","",IF(Parâmetros!$B$7="INICIADA",ROUNDUP(M77/Parâmetros!$B$5,0),ROUNDDOWN(M77/Parâmetros!$B$5,0)))</f>
        <v/>
      </c>
      <c r="O77" s="25" t="str">
        <f>IF(N77="","",N77*Parâmetros!$B$6)</f>
        <v/>
      </c>
      <c r="P77" s="26" t="str">
        <f>IF(K77="","",IF(OR(I77&lt;=0,J77&lt;0,J77&gt;I77),"REVISAR DADOS",IF(K77&gt;=L77,"ATENDIDO","NÃO ATENDIDO")))</f>
        <v/>
      </c>
      <c r="Q77" s="16"/>
    </row>
    <row r="78" spans="1:17" ht="15" customHeight="1" x14ac:dyDescent="0.2">
      <c r="A78" s="29"/>
      <c r="B78" s="29"/>
      <c r="C78" s="16"/>
      <c r="D78" s="60"/>
      <c r="E78" s="18" t="str">
        <f>IF(tbAvaliacaoSLA[[#This Row],[Competência]]="","",DAY(EOMONTH(tbAvaliacaoSLA[[#This Row],[Competência]],0))*24)</f>
        <v/>
      </c>
      <c r="F78" s="19"/>
      <c r="G78" s="19">
        <v>0</v>
      </c>
      <c r="H78" s="20" t="str">
        <f>IF(OR(E78="",D78=""),"",E78*D78)</f>
        <v/>
      </c>
      <c r="I78" s="21" t="str">
        <f>IF(OR(E78="",F78="",G78=""),"",E78-F78-G78)</f>
        <v/>
      </c>
      <c r="J78" s="21" t="str">
        <f>IF(OR(H78="",F78="",G78=""),"",H78-F78-G78)</f>
        <v/>
      </c>
      <c r="K78" s="24" t="str">
        <f>IFERROR(J78/I78,"")</f>
        <v/>
      </c>
      <c r="L78" s="23" t="str">
        <f>IF(tbAvaliacaoSLA[[#This Row],[Competência]]="","",Parâmetros!$B$4)</f>
        <v/>
      </c>
      <c r="M78" s="24" t="str">
        <f>IF(K78="","",MAX(0,L78-K78))</f>
        <v/>
      </c>
      <c r="N78" s="25" t="str">
        <f>IF(M78="","",IF(Parâmetros!$B$7="INICIADA",ROUNDUP(M78/Parâmetros!$B$5,0),ROUNDDOWN(M78/Parâmetros!$B$5,0)))</f>
        <v/>
      </c>
      <c r="O78" s="25" t="str">
        <f>IF(N78="","",N78*Parâmetros!$B$6)</f>
        <v/>
      </c>
      <c r="P78" s="26" t="str">
        <f>IF(K78="","",IF(OR(I78&lt;=0,J78&lt;0,J78&gt;I78),"REVISAR DADOS",IF(K78&gt;=L78,"ATENDIDO","NÃO ATENDIDO")))</f>
        <v/>
      </c>
      <c r="Q78" s="16"/>
    </row>
    <row r="79" spans="1:17" ht="15" customHeight="1" x14ac:dyDescent="0.2">
      <c r="A79" s="29"/>
      <c r="B79" s="29"/>
      <c r="C79" s="16"/>
      <c r="D79" s="60"/>
      <c r="E79" s="18" t="str">
        <f>IF(tbAvaliacaoSLA[[#This Row],[Competência]]="","",DAY(EOMONTH(tbAvaliacaoSLA[[#This Row],[Competência]],0))*24)</f>
        <v/>
      </c>
      <c r="F79" s="19"/>
      <c r="G79" s="19">
        <v>0</v>
      </c>
      <c r="H79" s="20" t="str">
        <f>IF(OR(E79="",D79=""),"",E79*D79)</f>
        <v/>
      </c>
      <c r="I79" s="21" t="str">
        <f>IF(OR(E79="",F79="",G79=""),"",E79-F79-G79)</f>
        <v/>
      </c>
      <c r="J79" s="21" t="str">
        <f>IF(OR(H79="",F79="",G79=""),"",H79-F79-G79)</f>
        <v/>
      </c>
      <c r="K79" s="24" t="str">
        <f>IFERROR(J79/I79,"")</f>
        <v/>
      </c>
      <c r="L79" s="23" t="str">
        <f>IF(tbAvaliacaoSLA[[#This Row],[Competência]]="","",Parâmetros!$B$4)</f>
        <v/>
      </c>
      <c r="M79" s="24" t="str">
        <f>IF(K79="","",MAX(0,L79-K79))</f>
        <v/>
      </c>
      <c r="N79" s="25" t="str">
        <f>IF(M79="","",IF(Parâmetros!$B$7="INICIADA",ROUNDUP(M79/Parâmetros!$B$5,0),ROUNDDOWN(M79/Parâmetros!$B$5,0)))</f>
        <v/>
      </c>
      <c r="O79" s="25" t="str">
        <f>IF(N79="","",N79*Parâmetros!$B$6)</f>
        <v/>
      </c>
      <c r="P79" s="26" t="str">
        <f>IF(K79="","",IF(OR(I79&lt;=0,J79&lt;0,J79&gt;I79),"REVISAR DADOS",IF(K79&gt;=L79,"ATENDIDO","NÃO ATENDIDO")))</f>
        <v/>
      </c>
      <c r="Q79" s="16"/>
    </row>
    <row r="80" spans="1:17" ht="15" customHeight="1" x14ac:dyDescent="0.2">
      <c r="A80" s="29"/>
      <c r="B80" s="29"/>
      <c r="C80" s="16"/>
      <c r="D80" s="60"/>
      <c r="E80" s="18" t="str">
        <f>IF(tbAvaliacaoSLA[[#This Row],[Competência]]="","",DAY(EOMONTH(tbAvaliacaoSLA[[#This Row],[Competência]],0))*24)</f>
        <v/>
      </c>
      <c r="F80" s="19"/>
      <c r="G80" s="19">
        <v>0</v>
      </c>
      <c r="H80" s="20" t="str">
        <f>IF(OR(E80="",D80=""),"",E80*D80)</f>
        <v/>
      </c>
      <c r="I80" s="21" t="str">
        <f>IF(OR(E80="",F80="",G80=""),"",E80-F80-G80)</f>
        <v/>
      </c>
      <c r="J80" s="21" t="str">
        <f>IF(OR(H80="",F80="",G80=""),"",H80-F80-G80)</f>
        <v/>
      </c>
      <c r="K80" s="24" t="str">
        <f>IFERROR(J80/I80,"")</f>
        <v/>
      </c>
      <c r="L80" s="23" t="str">
        <f>IF(tbAvaliacaoSLA[[#This Row],[Competência]]="","",Parâmetros!$B$4)</f>
        <v/>
      </c>
      <c r="M80" s="24" t="str">
        <f>IF(K80="","",MAX(0,L80-K80))</f>
        <v/>
      </c>
      <c r="N80" s="25" t="str">
        <f>IF(M80="","",IF(Parâmetros!$B$7="INICIADA",ROUNDUP(M80/Parâmetros!$B$5,0),ROUNDDOWN(M80/Parâmetros!$B$5,0)))</f>
        <v/>
      </c>
      <c r="O80" s="25" t="str">
        <f>IF(N80="","",N80*Parâmetros!$B$6)</f>
        <v/>
      </c>
      <c r="P80" s="26" t="str">
        <f>IF(K80="","",IF(OR(I80&lt;=0,J80&lt;0,J80&gt;I80),"REVISAR DADOS",IF(K80&gt;=L80,"ATENDIDO","NÃO ATENDIDO")))</f>
        <v/>
      </c>
      <c r="Q80" s="16"/>
    </row>
    <row r="81" spans="1:17" ht="15" customHeight="1" x14ac:dyDescent="0.2">
      <c r="A81" s="29"/>
      <c r="B81" s="29"/>
      <c r="C81" s="16"/>
      <c r="D81" s="60"/>
      <c r="E81" s="18" t="str">
        <f>IF(tbAvaliacaoSLA[[#This Row],[Competência]]="","",DAY(EOMONTH(tbAvaliacaoSLA[[#This Row],[Competência]],0))*24)</f>
        <v/>
      </c>
      <c r="F81" s="19"/>
      <c r="G81" s="19">
        <v>0</v>
      </c>
      <c r="H81" s="20" t="str">
        <f>IF(OR(E81="",D81=""),"",E81*D81)</f>
        <v/>
      </c>
      <c r="I81" s="21" t="str">
        <f>IF(OR(E81="",F81="",G81=""),"",E81-F81-G81)</f>
        <v/>
      </c>
      <c r="J81" s="21" t="str">
        <f>IF(OR(H81="",F81="",G81=""),"",H81-F81-G81)</f>
        <v/>
      </c>
      <c r="K81" s="24" t="str">
        <f>IFERROR(J81/I81,"")</f>
        <v/>
      </c>
      <c r="L81" s="23" t="str">
        <f>IF(tbAvaliacaoSLA[[#This Row],[Competência]]="","",Parâmetros!$B$4)</f>
        <v/>
      </c>
      <c r="M81" s="24" t="str">
        <f>IF(K81="","",MAX(0,L81-K81))</f>
        <v/>
      </c>
      <c r="N81" s="25" t="str">
        <f>IF(M81="","",IF(Parâmetros!$B$7="INICIADA",ROUNDUP(M81/Parâmetros!$B$5,0),ROUNDDOWN(M81/Parâmetros!$B$5,0)))</f>
        <v/>
      </c>
      <c r="O81" s="25" t="str">
        <f>IF(N81="","",N81*Parâmetros!$B$6)</f>
        <v/>
      </c>
      <c r="P81" s="26" t="str">
        <f>IF(K81="","",IF(OR(I81&lt;=0,J81&lt;0,J81&gt;I81),"REVISAR DADOS",IF(K81&gt;=L81,"ATENDIDO","NÃO ATENDIDO")))</f>
        <v/>
      </c>
      <c r="Q81" s="16"/>
    </row>
    <row r="82" spans="1:17" ht="15" customHeight="1" x14ac:dyDescent="0.2">
      <c r="A82" s="29"/>
      <c r="B82" s="29"/>
      <c r="C82" s="16"/>
      <c r="D82" s="60"/>
      <c r="E82" s="18" t="str">
        <f>IF(tbAvaliacaoSLA[[#This Row],[Competência]]="","",DAY(EOMONTH(tbAvaliacaoSLA[[#This Row],[Competência]],0))*24)</f>
        <v/>
      </c>
      <c r="F82" s="19"/>
      <c r="G82" s="19">
        <v>0</v>
      </c>
      <c r="H82" s="20" t="str">
        <f>IF(OR(E82="",D82=""),"",E82*D82)</f>
        <v/>
      </c>
      <c r="I82" s="21" t="str">
        <f>IF(OR(E82="",F82="",G82=""),"",E82-F82-G82)</f>
        <v/>
      </c>
      <c r="J82" s="21" t="str">
        <f>IF(OR(H82="",F82="",G82=""),"",H82-F82-G82)</f>
        <v/>
      </c>
      <c r="K82" s="24" t="str">
        <f>IFERROR(J82/I82,"")</f>
        <v/>
      </c>
      <c r="L82" s="23" t="str">
        <f>IF(tbAvaliacaoSLA[[#This Row],[Competência]]="","",Parâmetros!$B$4)</f>
        <v/>
      </c>
      <c r="M82" s="24" t="str">
        <f>IF(K82="","",MAX(0,L82-K82))</f>
        <v/>
      </c>
      <c r="N82" s="25" t="str">
        <f>IF(M82="","",IF(Parâmetros!$B$7="INICIADA",ROUNDUP(M82/Parâmetros!$B$5,0),ROUNDDOWN(M82/Parâmetros!$B$5,0)))</f>
        <v/>
      </c>
      <c r="O82" s="25" t="str">
        <f>IF(N82="","",N82*Parâmetros!$B$6)</f>
        <v/>
      </c>
      <c r="P82" s="26" t="str">
        <f>IF(K82="","",IF(OR(I82&lt;=0,J82&lt;0,J82&gt;I82),"REVISAR DADOS",IF(K82&gt;=L82,"ATENDIDO","NÃO ATENDIDO")))</f>
        <v/>
      </c>
      <c r="Q82" s="16"/>
    </row>
    <row r="83" spans="1:17" ht="15" customHeight="1" x14ac:dyDescent="0.2">
      <c r="A83" s="29"/>
      <c r="B83" s="29"/>
      <c r="C83" s="16"/>
      <c r="D83" s="60"/>
      <c r="E83" s="18" t="str">
        <f>IF(tbAvaliacaoSLA[[#This Row],[Competência]]="","",DAY(EOMONTH(tbAvaliacaoSLA[[#This Row],[Competência]],0))*24)</f>
        <v/>
      </c>
      <c r="F83" s="19"/>
      <c r="G83" s="19">
        <v>0</v>
      </c>
      <c r="H83" s="20" t="str">
        <f>IF(OR(E83="",D83=""),"",E83*D83)</f>
        <v/>
      </c>
      <c r="I83" s="21" t="str">
        <f>IF(OR(E83="",F83="",G83=""),"",E83-F83-G83)</f>
        <v/>
      </c>
      <c r="J83" s="21" t="str">
        <f>IF(OR(H83="",F83="",G83=""),"",H83-F83-G83)</f>
        <v/>
      </c>
      <c r="K83" s="24" t="str">
        <f>IFERROR(J83/I83,"")</f>
        <v/>
      </c>
      <c r="L83" s="23" t="str">
        <f>IF(tbAvaliacaoSLA[[#This Row],[Competência]]="","",Parâmetros!$B$4)</f>
        <v/>
      </c>
      <c r="M83" s="24" t="str">
        <f>IF(K83="","",MAX(0,L83-K83))</f>
        <v/>
      </c>
      <c r="N83" s="25" t="str">
        <f>IF(M83="","",IF(Parâmetros!$B$7="INICIADA",ROUNDUP(M83/Parâmetros!$B$5,0),ROUNDDOWN(M83/Parâmetros!$B$5,0)))</f>
        <v/>
      </c>
      <c r="O83" s="25" t="str">
        <f>IF(N83="","",N83*Parâmetros!$B$6)</f>
        <v/>
      </c>
      <c r="P83" s="26" t="str">
        <f>IF(K83="","",IF(OR(I83&lt;=0,J83&lt;0,J83&gt;I83),"REVISAR DADOS",IF(K83&gt;=L83,"ATENDIDO","NÃO ATENDIDO")))</f>
        <v/>
      </c>
      <c r="Q83" s="16"/>
    </row>
    <row r="84" spans="1:17" ht="15" customHeight="1" x14ac:dyDescent="0.2">
      <c r="A84" s="29"/>
      <c r="B84" s="29"/>
      <c r="C84" s="16"/>
      <c r="D84" s="60"/>
      <c r="E84" s="18" t="str">
        <f>IF(tbAvaliacaoSLA[[#This Row],[Competência]]="","",DAY(EOMONTH(tbAvaliacaoSLA[[#This Row],[Competência]],0))*24)</f>
        <v/>
      </c>
      <c r="F84" s="19"/>
      <c r="G84" s="19">
        <v>0</v>
      </c>
      <c r="H84" s="20" t="str">
        <f>IF(OR(E84="",D84=""),"",E84*D84)</f>
        <v/>
      </c>
      <c r="I84" s="21" t="str">
        <f>IF(OR(E84="",F84="",G84=""),"",E84-F84-G84)</f>
        <v/>
      </c>
      <c r="J84" s="21" t="str">
        <f>IF(OR(H84="",F84="",G84=""),"",H84-F84-G84)</f>
        <v/>
      </c>
      <c r="K84" s="24" t="str">
        <f>IFERROR(J84/I84,"")</f>
        <v/>
      </c>
      <c r="L84" s="23" t="str">
        <f>IF(tbAvaliacaoSLA[[#This Row],[Competência]]="","",Parâmetros!$B$4)</f>
        <v/>
      </c>
      <c r="M84" s="24" t="str">
        <f>IF(K84="","",MAX(0,L84-K84))</f>
        <v/>
      </c>
      <c r="N84" s="25" t="str">
        <f>IF(M84="","",IF(Parâmetros!$B$7="INICIADA",ROUNDUP(M84/Parâmetros!$B$5,0),ROUNDDOWN(M84/Parâmetros!$B$5,0)))</f>
        <v/>
      </c>
      <c r="O84" s="25" t="str">
        <f>IF(N84="","",N84*Parâmetros!$B$6)</f>
        <v/>
      </c>
      <c r="P84" s="26" t="str">
        <f>IF(K84="","",IF(OR(I84&lt;=0,J84&lt;0,J84&gt;I84),"REVISAR DADOS",IF(K84&gt;=L84,"ATENDIDO","NÃO ATENDIDO")))</f>
        <v/>
      </c>
      <c r="Q84" s="16"/>
    </row>
    <row r="85" spans="1:17" ht="15" customHeight="1" x14ac:dyDescent="0.2">
      <c r="A85" s="29"/>
      <c r="B85" s="29"/>
      <c r="C85" s="16"/>
      <c r="D85" s="60"/>
      <c r="E85" s="18" t="str">
        <f>IF(tbAvaliacaoSLA[[#This Row],[Competência]]="","",DAY(EOMONTH(tbAvaliacaoSLA[[#This Row],[Competência]],0))*24)</f>
        <v/>
      </c>
      <c r="F85" s="19"/>
      <c r="G85" s="19">
        <v>0</v>
      </c>
      <c r="H85" s="20" t="str">
        <f>IF(OR(E85="",D85=""),"",E85*D85)</f>
        <v/>
      </c>
      <c r="I85" s="21" t="str">
        <f>IF(OR(E85="",F85="",G85=""),"",E85-F85-G85)</f>
        <v/>
      </c>
      <c r="J85" s="21" t="str">
        <f>IF(OR(H85="",F85="",G85=""),"",H85-F85-G85)</f>
        <v/>
      </c>
      <c r="K85" s="24" t="str">
        <f>IFERROR(J85/I85,"")</f>
        <v/>
      </c>
      <c r="L85" s="23" t="str">
        <f>IF(tbAvaliacaoSLA[[#This Row],[Competência]]="","",Parâmetros!$B$4)</f>
        <v/>
      </c>
      <c r="M85" s="24" t="str">
        <f>IF(K85="","",MAX(0,L85-K85))</f>
        <v/>
      </c>
      <c r="N85" s="25" t="str">
        <f>IF(M85="","",IF(Parâmetros!$B$7="INICIADA",ROUNDUP(M85/Parâmetros!$B$5,0),ROUNDDOWN(M85/Parâmetros!$B$5,0)))</f>
        <v/>
      </c>
      <c r="O85" s="25" t="str">
        <f>IF(N85="","",N85*Parâmetros!$B$6)</f>
        <v/>
      </c>
      <c r="P85" s="26" t="str">
        <f>IF(K85="","",IF(OR(I85&lt;=0,J85&lt;0,J85&gt;I85),"REVISAR DADOS",IF(K85&gt;=L85,"ATENDIDO","NÃO ATENDIDO")))</f>
        <v/>
      </c>
      <c r="Q85" s="16"/>
    </row>
    <row r="86" spans="1:17" ht="15" customHeight="1" x14ac:dyDescent="0.2">
      <c r="A86" s="29"/>
      <c r="B86" s="29"/>
      <c r="C86" s="16"/>
      <c r="D86" s="60"/>
      <c r="E86" s="18" t="str">
        <f>IF(tbAvaliacaoSLA[[#This Row],[Competência]]="","",DAY(EOMONTH(tbAvaliacaoSLA[[#This Row],[Competência]],0))*24)</f>
        <v/>
      </c>
      <c r="F86" s="19"/>
      <c r="G86" s="19">
        <v>0</v>
      </c>
      <c r="H86" s="20" t="str">
        <f>IF(OR(E86="",D86=""),"",E86*D86)</f>
        <v/>
      </c>
      <c r="I86" s="21" t="str">
        <f>IF(OR(E86="",F86="",G86=""),"",E86-F86-G86)</f>
        <v/>
      </c>
      <c r="J86" s="21" t="str">
        <f>IF(OR(H86="",F86="",G86=""),"",H86-F86-G86)</f>
        <v/>
      </c>
      <c r="K86" s="24" t="str">
        <f>IFERROR(J86/I86,"")</f>
        <v/>
      </c>
      <c r="L86" s="23" t="str">
        <f>IF(tbAvaliacaoSLA[[#This Row],[Competência]]="","",Parâmetros!$B$4)</f>
        <v/>
      </c>
      <c r="M86" s="24" t="str">
        <f>IF(K86="","",MAX(0,L86-K86))</f>
        <v/>
      </c>
      <c r="N86" s="25" t="str">
        <f>IF(M86="","",IF(Parâmetros!$B$7="INICIADA",ROUNDUP(M86/Parâmetros!$B$5,0),ROUNDDOWN(M86/Parâmetros!$B$5,0)))</f>
        <v/>
      </c>
      <c r="O86" s="25" t="str">
        <f>IF(N86="","",N86*Parâmetros!$B$6)</f>
        <v/>
      </c>
      <c r="P86" s="26" t="str">
        <f>IF(K86="","",IF(OR(I86&lt;=0,J86&lt;0,J86&gt;I86),"REVISAR DADOS",IF(K86&gt;=L86,"ATENDIDO","NÃO ATENDIDO")))</f>
        <v/>
      </c>
      <c r="Q86" s="16"/>
    </row>
    <row r="87" spans="1:17" ht="15" customHeight="1" x14ac:dyDescent="0.2">
      <c r="A87" s="29"/>
      <c r="B87" s="29"/>
      <c r="C87" s="16"/>
      <c r="D87" s="60"/>
      <c r="E87" s="18" t="str">
        <f>IF(tbAvaliacaoSLA[[#This Row],[Competência]]="","",DAY(EOMONTH(tbAvaliacaoSLA[[#This Row],[Competência]],0))*24)</f>
        <v/>
      </c>
      <c r="F87" s="19"/>
      <c r="G87" s="19">
        <v>0</v>
      </c>
      <c r="H87" s="20" t="str">
        <f>IF(OR(E87="",D87=""),"",E87*D87)</f>
        <v/>
      </c>
      <c r="I87" s="21" t="str">
        <f>IF(OR(E87="",F87="",G87=""),"",E87-F87-G87)</f>
        <v/>
      </c>
      <c r="J87" s="21" t="str">
        <f>IF(OR(H87="",F87="",G87=""),"",H87-F87-G87)</f>
        <v/>
      </c>
      <c r="K87" s="24" t="str">
        <f>IFERROR(J87/I87,"")</f>
        <v/>
      </c>
      <c r="L87" s="23" t="str">
        <f>IF(tbAvaliacaoSLA[[#This Row],[Competência]]="","",Parâmetros!$B$4)</f>
        <v/>
      </c>
      <c r="M87" s="24" t="str">
        <f>IF(K87="","",MAX(0,L87-K87))</f>
        <v/>
      </c>
      <c r="N87" s="25" t="str">
        <f>IF(M87="","",IF(Parâmetros!$B$7="INICIADA",ROUNDUP(M87/Parâmetros!$B$5,0),ROUNDDOWN(M87/Parâmetros!$B$5,0)))</f>
        <v/>
      </c>
      <c r="O87" s="25" t="str">
        <f>IF(N87="","",N87*Parâmetros!$B$6)</f>
        <v/>
      </c>
      <c r="P87" s="26" t="str">
        <f>IF(K87="","",IF(OR(I87&lt;=0,J87&lt;0,J87&gt;I87),"REVISAR DADOS",IF(K87&gt;=L87,"ATENDIDO","NÃO ATENDIDO")))</f>
        <v/>
      </c>
      <c r="Q87" s="16"/>
    </row>
    <row r="88" spans="1:17" ht="15" customHeight="1" x14ac:dyDescent="0.2">
      <c r="A88" s="29"/>
      <c r="B88" s="29"/>
      <c r="C88" s="16"/>
      <c r="D88" s="60"/>
      <c r="E88" s="18" t="str">
        <f>IF(tbAvaliacaoSLA[[#This Row],[Competência]]="","",DAY(EOMONTH(tbAvaliacaoSLA[[#This Row],[Competência]],0))*24)</f>
        <v/>
      </c>
      <c r="F88" s="19"/>
      <c r="G88" s="19">
        <v>0</v>
      </c>
      <c r="H88" s="20" t="str">
        <f>IF(OR(E88="",D88=""),"",E88*D88)</f>
        <v/>
      </c>
      <c r="I88" s="21" t="str">
        <f>IF(OR(E88="",F88="",G88=""),"",E88-F88-G88)</f>
        <v/>
      </c>
      <c r="J88" s="21" t="str">
        <f>IF(OR(H88="",F88="",G88=""),"",H88-F88-G88)</f>
        <v/>
      </c>
      <c r="K88" s="24" t="str">
        <f>IFERROR(J88/I88,"")</f>
        <v/>
      </c>
      <c r="L88" s="23" t="str">
        <f>IF(tbAvaliacaoSLA[[#This Row],[Competência]]="","",Parâmetros!$B$4)</f>
        <v/>
      </c>
      <c r="M88" s="24" t="str">
        <f>IF(K88="","",MAX(0,L88-K88))</f>
        <v/>
      </c>
      <c r="N88" s="25" t="str">
        <f>IF(M88="","",IF(Parâmetros!$B$7="INICIADA",ROUNDUP(M88/Parâmetros!$B$5,0),ROUNDDOWN(M88/Parâmetros!$B$5,0)))</f>
        <v/>
      </c>
      <c r="O88" s="25" t="str">
        <f>IF(N88="","",N88*Parâmetros!$B$6)</f>
        <v/>
      </c>
      <c r="P88" s="26" t="str">
        <f>IF(K88="","",IF(OR(I88&lt;=0,J88&lt;0,J88&gt;I88),"REVISAR DADOS",IF(K88&gt;=L88,"ATENDIDO","NÃO ATENDIDO")))</f>
        <v/>
      </c>
      <c r="Q88" s="16"/>
    </row>
    <row r="89" spans="1:17" ht="15" customHeight="1" x14ac:dyDescent="0.2">
      <c r="A89" s="29"/>
      <c r="B89" s="29"/>
      <c r="C89" s="16"/>
      <c r="D89" s="60"/>
      <c r="E89" s="18" t="str">
        <f>IF(tbAvaliacaoSLA[[#This Row],[Competência]]="","",DAY(EOMONTH(tbAvaliacaoSLA[[#This Row],[Competência]],0))*24)</f>
        <v/>
      </c>
      <c r="F89" s="19"/>
      <c r="G89" s="19">
        <v>0</v>
      </c>
      <c r="H89" s="20" t="str">
        <f>IF(OR(E89="",D89=""),"",E89*D89)</f>
        <v/>
      </c>
      <c r="I89" s="21" t="str">
        <f>IF(OR(E89="",F89="",G89=""),"",E89-F89-G89)</f>
        <v/>
      </c>
      <c r="J89" s="21" t="str">
        <f>IF(OR(H89="",F89="",G89=""),"",H89-F89-G89)</f>
        <v/>
      </c>
      <c r="K89" s="24" t="str">
        <f>IFERROR(J89/I89,"")</f>
        <v/>
      </c>
      <c r="L89" s="23" t="str">
        <f>IF(tbAvaliacaoSLA[[#This Row],[Competência]]="","",Parâmetros!$B$4)</f>
        <v/>
      </c>
      <c r="M89" s="24" t="str">
        <f>IF(K89="","",MAX(0,L89-K89))</f>
        <v/>
      </c>
      <c r="N89" s="25" t="str">
        <f>IF(M89="","",IF(Parâmetros!$B$7="INICIADA",ROUNDUP(M89/Parâmetros!$B$5,0),ROUNDDOWN(M89/Parâmetros!$B$5,0)))</f>
        <v/>
      </c>
      <c r="O89" s="25" t="str">
        <f>IF(N89="","",N89*Parâmetros!$B$6)</f>
        <v/>
      </c>
      <c r="P89" s="26" t="str">
        <f>IF(K89="","",IF(OR(I89&lt;=0,J89&lt;0,J89&gt;I89),"REVISAR DADOS",IF(K89&gt;=L89,"ATENDIDO","NÃO ATENDIDO")))</f>
        <v/>
      </c>
      <c r="Q89" s="16"/>
    </row>
    <row r="90" spans="1:17" ht="15" customHeight="1" x14ac:dyDescent="0.2">
      <c r="A90" s="29"/>
      <c r="B90" s="29"/>
      <c r="C90" s="16"/>
      <c r="D90" s="60"/>
      <c r="E90" s="18" t="str">
        <f>IF(tbAvaliacaoSLA[[#This Row],[Competência]]="","",DAY(EOMONTH(tbAvaliacaoSLA[[#This Row],[Competência]],0))*24)</f>
        <v/>
      </c>
      <c r="F90" s="19"/>
      <c r="G90" s="19">
        <v>0</v>
      </c>
      <c r="H90" s="20" t="str">
        <f>IF(OR(E90="",D90=""),"",E90*D90)</f>
        <v/>
      </c>
      <c r="I90" s="21" t="str">
        <f>IF(OR(E90="",F90="",G90=""),"",E90-F90-G90)</f>
        <v/>
      </c>
      <c r="J90" s="21" t="str">
        <f>IF(OR(H90="",F90="",G90=""),"",H90-F90-G90)</f>
        <v/>
      </c>
      <c r="K90" s="24" t="str">
        <f>IFERROR(J90/I90,"")</f>
        <v/>
      </c>
      <c r="L90" s="23" t="str">
        <f>IF(tbAvaliacaoSLA[[#This Row],[Competência]]="","",Parâmetros!$B$4)</f>
        <v/>
      </c>
      <c r="M90" s="24" t="str">
        <f>IF(K90="","",MAX(0,L90-K90))</f>
        <v/>
      </c>
      <c r="N90" s="25" t="str">
        <f>IF(M90="","",IF(Parâmetros!$B$7="INICIADA",ROUNDUP(M90/Parâmetros!$B$5,0),ROUNDDOWN(M90/Parâmetros!$B$5,0)))</f>
        <v/>
      </c>
      <c r="O90" s="25" t="str">
        <f>IF(N90="","",N90*Parâmetros!$B$6)</f>
        <v/>
      </c>
      <c r="P90" s="26" t="str">
        <f>IF(K90="","",IF(OR(I90&lt;=0,J90&lt;0,J90&gt;I90),"REVISAR DADOS",IF(K90&gt;=L90,"ATENDIDO","NÃO ATENDIDO")))</f>
        <v/>
      </c>
      <c r="Q90" s="16"/>
    </row>
    <row r="91" spans="1:17" ht="15" customHeight="1" x14ac:dyDescent="0.2">
      <c r="A91" s="29"/>
      <c r="B91" s="29"/>
      <c r="C91" s="16"/>
      <c r="D91" s="60"/>
      <c r="E91" s="18" t="str">
        <f>IF(tbAvaliacaoSLA[[#This Row],[Competência]]="","",DAY(EOMONTH(tbAvaliacaoSLA[[#This Row],[Competência]],0))*24)</f>
        <v/>
      </c>
      <c r="F91" s="19"/>
      <c r="G91" s="19">
        <v>0</v>
      </c>
      <c r="H91" s="20" t="str">
        <f>IF(OR(E91="",D91=""),"",E91*D91)</f>
        <v/>
      </c>
      <c r="I91" s="21" t="str">
        <f>IF(OR(E91="",F91="",G91=""),"",E91-F91-G91)</f>
        <v/>
      </c>
      <c r="J91" s="21" t="str">
        <f>IF(OR(H91="",F91="",G91=""),"",H91-F91-G91)</f>
        <v/>
      </c>
      <c r="K91" s="24" t="str">
        <f>IFERROR(J91/I91,"")</f>
        <v/>
      </c>
      <c r="L91" s="23" t="str">
        <f>IF(tbAvaliacaoSLA[[#This Row],[Competência]]="","",Parâmetros!$B$4)</f>
        <v/>
      </c>
      <c r="M91" s="24" t="str">
        <f>IF(K91="","",MAX(0,L91-K91))</f>
        <v/>
      </c>
      <c r="N91" s="25" t="str">
        <f>IF(M91="","",IF(Parâmetros!$B$7="INICIADA",ROUNDUP(M91/Parâmetros!$B$5,0),ROUNDDOWN(M91/Parâmetros!$B$5,0)))</f>
        <v/>
      </c>
      <c r="O91" s="25" t="str">
        <f>IF(N91="","",N91*Parâmetros!$B$6)</f>
        <v/>
      </c>
      <c r="P91" s="26" t="str">
        <f>IF(K91="","",IF(OR(I91&lt;=0,J91&lt;0,J91&gt;I91),"REVISAR DADOS",IF(K91&gt;=L91,"ATENDIDO","NÃO ATENDIDO")))</f>
        <v/>
      </c>
      <c r="Q91" s="16"/>
    </row>
    <row r="92" spans="1:17" ht="15" customHeight="1" x14ac:dyDescent="0.2">
      <c r="A92" s="29"/>
      <c r="B92" s="29"/>
      <c r="C92" s="16"/>
      <c r="D92" s="60"/>
      <c r="E92" s="18" t="str">
        <f>IF(tbAvaliacaoSLA[[#This Row],[Competência]]="","",DAY(EOMONTH(tbAvaliacaoSLA[[#This Row],[Competência]],0))*24)</f>
        <v/>
      </c>
      <c r="F92" s="19"/>
      <c r="G92" s="19">
        <v>0</v>
      </c>
      <c r="H92" s="20" t="str">
        <f>IF(OR(E92="",D92=""),"",E92*D92)</f>
        <v/>
      </c>
      <c r="I92" s="21" t="str">
        <f>IF(OR(E92="",F92="",G92=""),"",E92-F92-G92)</f>
        <v/>
      </c>
      <c r="J92" s="21" t="str">
        <f>IF(OR(H92="",F92="",G92=""),"",H92-F92-G92)</f>
        <v/>
      </c>
      <c r="K92" s="24" t="str">
        <f>IFERROR(J92/I92,"")</f>
        <v/>
      </c>
      <c r="L92" s="23" t="str">
        <f>IF(tbAvaliacaoSLA[[#This Row],[Competência]]="","",Parâmetros!$B$4)</f>
        <v/>
      </c>
      <c r="M92" s="24" t="str">
        <f>IF(K92="","",MAX(0,L92-K92))</f>
        <v/>
      </c>
      <c r="N92" s="25" t="str">
        <f>IF(M92="","",IF(Parâmetros!$B$7="INICIADA",ROUNDUP(M92/Parâmetros!$B$5,0),ROUNDDOWN(M92/Parâmetros!$B$5,0)))</f>
        <v/>
      </c>
      <c r="O92" s="25" t="str">
        <f>IF(N92="","",N92*Parâmetros!$B$6)</f>
        <v/>
      </c>
      <c r="P92" s="26" t="str">
        <f>IF(K92="","",IF(OR(I92&lt;=0,J92&lt;0,J92&gt;I92),"REVISAR DADOS",IF(K92&gt;=L92,"ATENDIDO","NÃO ATENDIDO")))</f>
        <v/>
      </c>
      <c r="Q92" s="16"/>
    </row>
    <row r="93" spans="1:17" ht="15" customHeight="1" x14ac:dyDescent="0.2">
      <c r="A93" s="29"/>
      <c r="B93" s="29"/>
      <c r="C93" s="16"/>
      <c r="D93" s="60"/>
      <c r="E93" s="18" t="str">
        <f>IF(tbAvaliacaoSLA[[#This Row],[Competência]]="","",DAY(EOMONTH(tbAvaliacaoSLA[[#This Row],[Competência]],0))*24)</f>
        <v/>
      </c>
      <c r="F93" s="19"/>
      <c r="G93" s="19">
        <v>0</v>
      </c>
      <c r="H93" s="20" t="str">
        <f>IF(OR(E93="",D93=""),"",E93*D93)</f>
        <v/>
      </c>
      <c r="I93" s="21" t="str">
        <f>IF(OR(E93="",F93="",G93=""),"",E93-F93-G93)</f>
        <v/>
      </c>
      <c r="J93" s="21" t="str">
        <f>IF(OR(H93="",F93="",G93=""),"",H93-F93-G93)</f>
        <v/>
      </c>
      <c r="K93" s="24" t="str">
        <f>IFERROR(J93/I93,"")</f>
        <v/>
      </c>
      <c r="L93" s="23" t="str">
        <f>IF(tbAvaliacaoSLA[[#This Row],[Competência]]="","",Parâmetros!$B$4)</f>
        <v/>
      </c>
      <c r="M93" s="24" t="str">
        <f>IF(K93="","",MAX(0,L93-K93))</f>
        <v/>
      </c>
      <c r="N93" s="25" t="str">
        <f>IF(M93="","",IF(Parâmetros!$B$7="INICIADA",ROUNDUP(M93/Parâmetros!$B$5,0),ROUNDDOWN(M93/Parâmetros!$B$5,0)))</f>
        <v/>
      </c>
      <c r="O93" s="25" t="str">
        <f>IF(N93="","",N93*Parâmetros!$B$6)</f>
        <v/>
      </c>
      <c r="P93" s="26" t="str">
        <f>IF(K93="","",IF(OR(I93&lt;=0,J93&lt;0,J93&gt;I93),"REVISAR DADOS",IF(K93&gt;=L93,"ATENDIDO","NÃO ATENDIDO")))</f>
        <v/>
      </c>
      <c r="Q93" s="16"/>
    </row>
    <row r="94" spans="1:17" ht="15" customHeight="1" x14ac:dyDescent="0.2">
      <c r="A94" s="29"/>
      <c r="B94" s="29"/>
      <c r="C94" s="16"/>
      <c r="D94" s="60"/>
      <c r="E94" s="18" t="str">
        <f>IF(tbAvaliacaoSLA[[#This Row],[Competência]]="","",DAY(EOMONTH(tbAvaliacaoSLA[[#This Row],[Competência]],0))*24)</f>
        <v/>
      </c>
      <c r="F94" s="19"/>
      <c r="G94" s="19">
        <v>0</v>
      </c>
      <c r="H94" s="20" t="str">
        <f>IF(OR(E94="",D94=""),"",E94*D94)</f>
        <v/>
      </c>
      <c r="I94" s="21" t="str">
        <f>IF(OR(E94="",F94="",G94=""),"",E94-F94-G94)</f>
        <v/>
      </c>
      <c r="J94" s="21" t="str">
        <f>IF(OR(H94="",F94="",G94=""),"",H94-F94-G94)</f>
        <v/>
      </c>
      <c r="K94" s="24" t="str">
        <f>IFERROR(J94/I94,"")</f>
        <v/>
      </c>
      <c r="L94" s="23" t="str">
        <f>IF(tbAvaliacaoSLA[[#This Row],[Competência]]="","",Parâmetros!$B$4)</f>
        <v/>
      </c>
      <c r="M94" s="24" t="str">
        <f>IF(K94="","",MAX(0,L94-K94))</f>
        <v/>
      </c>
      <c r="N94" s="25" t="str">
        <f>IF(M94="","",IF(Parâmetros!$B$7="INICIADA",ROUNDUP(M94/Parâmetros!$B$5,0),ROUNDDOWN(M94/Parâmetros!$B$5,0)))</f>
        <v/>
      </c>
      <c r="O94" s="25" t="str">
        <f>IF(N94="","",N94*Parâmetros!$B$6)</f>
        <v/>
      </c>
      <c r="P94" s="26" t="str">
        <f>IF(K94="","",IF(OR(I94&lt;=0,J94&lt;0,J94&gt;I94),"REVISAR DADOS",IF(K94&gt;=L94,"ATENDIDO","NÃO ATENDIDO")))</f>
        <v/>
      </c>
      <c r="Q94" s="16"/>
    </row>
    <row r="95" spans="1:17" ht="15" customHeight="1" x14ac:dyDescent="0.2">
      <c r="A95" s="29"/>
      <c r="B95" s="29"/>
      <c r="C95" s="16"/>
      <c r="D95" s="60"/>
      <c r="E95" s="18" t="str">
        <f>IF(tbAvaliacaoSLA[[#This Row],[Competência]]="","",DAY(EOMONTH(tbAvaliacaoSLA[[#This Row],[Competência]],0))*24)</f>
        <v/>
      </c>
      <c r="F95" s="19"/>
      <c r="G95" s="19">
        <v>0</v>
      </c>
      <c r="H95" s="20" t="str">
        <f>IF(OR(E95="",D95=""),"",E95*D95)</f>
        <v/>
      </c>
      <c r="I95" s="21" t="str">
        <f>IF(OR(E95="",F95="",G95=""),"",E95-F95-G95)</f>
        <v/>
      </c>
      <c r="J95" s="21" t="str">
        <f>IF(OR(H95="",F95="",G95=""),"",H95-F95-G95)</f>
        <v/>
      </c>
      <c r="K95" s="24" t="str">
        <f>IFERROR(J95/I95,"")</f>
        <v/>
      </c>
      <c r="L95" s="23" t="str">
        <f>IF(tbAvaliacaoSLA[[#This Row],[Competência]]="","",Parâmetros!$B$4)</f>
        <v/>
      </c>
      <c r="M95" s="24" t="str">
        <f>IF(K95="","",MAX(0,L95-K95))</f>
        <v/>
      </c>
      <c r="N95" s="25" t="str">
        <f>IF(M95="","",IF(Parâmetros!$B$7="INICIADA",ROUNDUP(M95/Parâmetros!$B$5,0),ROUNDDOWN(M95/Parâmetros!$B$5,0)))</f>
        <v/>
      </c>
      <c r="O95" s="25" t="str">
        <f>IF(N95="","",N95*Parâmetros!$B$6)</f>
        <v/>
      </c>
      <c r="P95" s="26" t="str">
        <f>IF(K95="","",IF(OR(I95&lt;=0,J95&lt;0,J95&gt;I95),"REVISAR DADOS",IF(K95&gt;=L95,"ATENDIDO","NÃO ATENDIDO")))</f>
        <v/>
      </c>
      <c r="Q95" s="16"/>
    </row>
    <row r="96" spans="1:17" ht="15" customHeight="1" x14ac:dyDescent="0.2">
      <c r="A96" s="29"/>
      <c r="B96" s="29"/>
      <c r="C96" s="16"/>
      <c r="D96" s="60"/>
      <c r="E96" s="18" t="str">
        <f>IF(tbAvaliacaoSLA[[#This Row],[Competência]]="","",DAY(EOMONTH(tbAvaliacaoSLA[[#This Row],[Competência]],0))*24)</f>
        <v/>
      </c>
      <c r="F96" s="19"/>
      <c r="G96" s="19">
        <v>0</v>
      </c>
      <c r="H96" s="20" t="str">
        <f>IF(OR(E96="",D96=""),"",E96*D96)</f>
        <v/>
      </c>
      <c r="I96" s="21" t="str">
        <f>IF(OR(E96="",F96="",G96=""),"",E96-F96-G96)</f>
        <v/>
      </c>
      <c r="J96" s="21" t="str">
        <f>IF(OR(H96="",F96="",G96=""),"",H96-F96-G96)</f>
        <v/>
      </c>
      <c r="K96" s="24" t="str">
        <f>IFERROR(J96/I96,"")</f>
        <v/>
      </c>
      <c r="L96" s="23" t="str">
        <f>IF(tbAvaliacaoSLA[[#This Row],[Competência]]="","",Parâmetros!$B$4)</f>
        <v/>
      </c>
      <c r="M96" s="24" t="str">
        <f>IF(K96="","",MAX(0,L96-K96))</f>
        <v/>
      </c>
      <c r="N96" s="25" t="str">
        <f>IF(M96="","",IF(Parâmetros!$B$7="INICIADA",ROUNDUP(M96/Parâmetros!$B$5,0),ROUNDDOWN(M96/Parâmetros!$B$5,0)))</f>
        <v/>
      </c>
      <c r="O96" s="25" t="str">
        <f>IF(N96="","",N96*Parâmetros!$B$6)</f>
        <v/>
      </c>
      <c r="P96" s="26" t="str">
        <f>IF(K96="","",IF(OR(I96&lt;=0,J96&lt;0,J96&gt;I96),"REVISAR DADOS",IF(K96&gt;=L96,"ATENDIDO","NÃO ATENDIDO")))</f>
        <v/>
      </c>
      <c r="Q96" s="16"/>
    </row>
    <row r="97" spans="1:17" ht="15" customHeight="1" x14ac:dyDescent="0.2">
      <c r="A97" s="29"/>
      <c r="B97" s="29"/>
      <c r="C97" s="16"/>
      <c r="D97" s="60"/>
      <c r="E97" s="18" t="str">
        <f>IF(tbAvaliacaoSLA[[#This Row],[Competência]]="","",DAY(EOMONTH(tbAvaliacaoSLA[[#This Row],[Competência]],0))*24)</f>
        <v/>
      </c>
      <c r="F97" s="19"/>
      <c r="G97" s="19">
        <v>0</v>
      </c>
      <c r="H97" s="20" t="str">
        <f>IF(OR(E97="",D97=""),"",E97*D97)</f>
        <v/>
      </c>
      <c r="I97" s="21" t="str">
        <f>IF(OR(E97="",F97="",G97=""),"",E97-F97-G97)</f>
        <v/>
      </c>
      <c r="J97" s="21" t="str">
        <f>IF(OR(H97="",F97="",G97=""),"",H97-F97-G97)</f>
        <v/>
      </c>
      <c r="K97" s="24" t="str">
        <f>IFERROR(J97/I97,"")</f>
        <v/>
      </c>
      <c r="L97" s="23" t="str">
        <f>IF(tbAvaliacaoSLA[[#This Row],[Competência]]="","",Parâmetros!$B$4)</f>
        <v/>
      </c>
      <c r="M97" s="24" t="str">
        <f>IF(K97="","",MAX(0,L97-K97))</f>
        <v/>
      </c>
      <c r="N97" s="25" t="str">
        <f>IF(M97="","",IF(Parâmetros!$B$7="INICIADA",ROUNDUP(M97/Parâmetros!$B$5,0),ROUNDDOWN(M97/Parâmetros!$B$5,0)))</f>
        <v/>
      </c>
      <c r="O97" s="25" t="str">
        <f>IF(N97="","",N97*Parâmetros!$B$6)</f>
        <v/>
      </c>
      <c r="P97" s="26" t="str">
        <f>IF(K97="","",IF(OR(I97&lt;=0,J97&lt;0,J97&gt;I97),"REVISAR DADOS",IF(K97&gt;=L97,"ATENDIDO","NÃO ATENDIDO")))</f>
        <v/>
      </c>
      <c r="Q97" s="16"/>
    </row>
    <row r="98" spans="1:17" ht="15" customHeight="1" x14ac:dyDescent="0.2">
      <c r="A98" s="29"/>
      <c r="B98" s="29"/>
      <c r="C98" s="16"/>
      <c r="D98" s="60"/>
      <c r="E98" s="18" t="str">
        <f>IF(tbAvaliacaoSLA[[#This Row],[Competência]]="","",DAY(EOMONTH(tbAvaliacaoSLA[[#This Row],[Competência]],0))*24)</f>
        <v/>
      </c>
      <c r="F98" s="19"/>
      <c r="G98" s="19">
        <v>0</v>
      </c>
      <c r="H98" s="20" t="str">
        <f>IF(OR(E98="",D98=""),"",E98*D98)</f>
        <v/>
      </c>
      <c r="I98" s="21" t="str">
        <f>IF(OR(E98="",F98="",G98=""),"",E98-F98-G98)</f>
        <v/>
      </c>
      <c r="J98" s="21" t="str">
        <f>IF(OR(H98="",F98="",G98=""),"",H98-F98-G98)</f>
        <v/>
      </c>
      <c r="K98" s="24" t="str">
        <f>IFERROR(J98/I98,"")</f>
        <v/>
      </c>
      <c r="L98" s="23" t="str">
        <f>IF(tbAvaliacaoSLA[[#This Row],[Competência]]="","",Parâmetros!$B$4)</f>
        <v/>
      </c>
      <c r="M98" s="24" t="str">
        <f>IF(K98="","",MAX(0,L98-K98))</f>
        <v/>
      </c>
      <c r="N98" s="25" t="str">
        <f>IF(M98="","",IF(Parâmetros!$B$7="INICIADA",ROUNDUP(M98/Parâmetros!$B$5,0),ROUNDDOWN(M98/Parâmetros!$B$5,0)))</f>
        <v/>
      </c>
      <c r="O98" s="25" t="str">
        <f>IF(N98="","",N98*Parâmetros!$B$6)</f>
        <v/>
      </c>
      <c r="P98" s="26" t="str">
        <f>IF(K98="","",IF(OR(I98&lt;=0,J98&lt;0,J98&gt;I98),"REVISAR DADOS",IF(K98&gt;=L98,"ATENDIDO","NÃO ATENDIDO")))</f>
        <v/>
      </c>
      <c r="Q98" s="16"/>
    </row>
    <row r="99" spans="1:17" ht="15" customHeight="1" x14ac:dyDescent="0.2">
      <c r="A99" s="29"/>
      <c r="B99" s="29"/>
      <c r="C99" s="16"/>
      <c r="D99" s="60"/>
      <c r="E99" s="18" t="str">
        <f>IF(tbAvaliacaoSLA[[#This Row],[Competência]]="","",DAY(EOMONTH(tbAvaliacaoSLA[[#This Row],[Competência]],0))*24)</f>
        <v/>
      </c>
      <c r="F99" s="19"/>
      <c r="G99" s="19">
        <v>0</v>
      </c>
      <c r="H99" s="20" t="str">
        <f>IF(OR(E99="",D99=""),"",E99*D99)</f>
        <v/>
      </c>
      <c r="I99" s="21" t="str">
        <f>IF(OR(E99="",F99="",G99=""),"",E99-F99-G99)</f>
        <v/>
      </c>
      <c r="J99" s="21" t="str">
        <f>IF(OR(H99="",F99="",G99=""),"",H99-F99-G99)</f>
        <v/>
      </c>
      <c r="K99" s="24" t="str">
        <f>IFERROR(J99/I99,"")</f>
        <v/>
      </c>
      <c r="L99" s="23" t="str">
        <f>IF(tbAvaliacaoSLA[[#This Row],[Competência]]="","",Parâmetros!$B$4)</f>
        <v/>
      </c>
      <c r="M99" s="24" t="str">
        <f>IF(K99="","",MAX(0,L99-K99))</f>
        <v/>
      </c>
      <c r="N99" s="25" t="str">
        <f>IF(M99="","",IF(Parâmetros!$B$7="INICIADA",ROUNDUP(M99/Parâmetros!$B$5,0),ROUNDDOWN(M99/Parâmetros!$B$5,0)))</f>
        <v/>
      </c>
      <c r="O99" s="25" t="str">
        <f>IF(N99="","",N99*Parâmetros!$B$6)</f>
        <v/>
      </c>
      <c r="P99" s="26" t="str">
        <f>IF(K99="","",IF(OR(I99&lt;=0,J99&lt;0,J99&gt;I99),"REVISAR DADOS",IF(K99&gt;=L99,"ATENDIDO","NÃO ATENDIDO")))</f>
        <v/>
      </c>
      <c r="Q99" s="16"/>
    </row>
    <row r="100" spans="1:17" ht="15" customHeight="1" x14ac:dyDescent="0.2">
      <c r="A100" s="29"/>
      <c r="B100" s="29"/>
      <c r="C100" s="16"/>
      <c r="D100" s="60"/>
      <c r="E100" s="18" t="str">
        <f>IF(tbAvaliacaoSLA[[#This Row],[Competência]]="","",DAY(EOMONTH(tbAvaliacaoSLA[[#This Row],[Competência]],0))*24)</f>
        <v/>
      </c>
      <c r="F100" s="19"/>
      <c r="G100" s="19">
        <v>0</v>
      </c>
      <c r="H100" s="20" t="str">
        <f>IF(OR(E100="",D100=""),"",E100*D100)</f>
        <v/>
      </c>
      <c r="I100" s="21" t="str">
        <f>IF(OR(E100="",F100="",G100=""),"",E100-F100-G100)</f>
        <v/>
      </c>
      <c r="J100" s="21" t="str">
        <f>IF(OR(H100="",F100="",G100=""),"",H100-F100-G100)</f>
        <v/>
      </c>
      <c r="K100" s="24" t="str">
        <f>IFERROR(J100/I100,"")</f>
        <v/>
      </c>
      <c r="L100" s="23" t="str">
        <f>IF(tbAvaliacaoSLA[[#This Row],[Competência]]="","",Parâmetros!$B$4)</f>
        <v/>
      </c>
      <c r="M100" s="24" t="str">
        <f>IF(K100="","",MAX(0,L100-K100))</f>
        <v/>
      </c>
      <c r="N100" s="25" t="str">
        <f>IF(M100="","",IF(Parâmetros!$B$7="INICIADA",ROUNDUP(M100/Parâmetros!$B$5,0),ROUNDDOWN(M100/Parâmetros!$B$5,0)))</f>
        <v/>
      </c>
      <c r="O100" s="25" t="str">
        <f>IF(N100="","",N100*Parâmetros!$B$6)</f>
        <v/>
      </c>
      <c r="P100" s="26" t="str">
        <f>IF(K100="","",IF(OR(I100&lt;=0,J100&lt;0,J100&gt;I100),"REVISAR DADOS",IF(K100&gt;=L100,"ATENDIDO","NÃO ATENDIDO")))</f>
        <v/>
      </c>
      <c r="Q100" s="16"/>
    </row>
    <row r="101" spans="1:17" ht="15" customHeight="1" x14ac:dyDescent="0.2">
      <c r="A101" s="29"/>
      <c r="B101" s="29"/>
      <c r="C101" s="16"/>
      <c r="D101" s="60"/>
      <c r="E101" s="18" t="str">
        <f>IF(tbAvaliacaoSLA[[#This Row],[Competência]]="","",DAY(EOMONTH(tbAvaliacaoSLA[[#This Row],[Competência]],0))*24)</f>
        <v/>
      </c>
      <c r="F101" s="19"/>
      <c r="G101" s="19">
        <v>0</v>
      </c>
      <c r="H101" s="20" t="str">
        <f>IF(OR(E101="",D101=""),"",E101*D101)</f>
        <v/>
      </c>
      <c r="I101" s="21" t="str">
        <f>IF(OR(E101="",F101="",G101=""),"",E101-F101-G101)</f>
        <v/>
      </c>
      <c r="J101" s="21" t="str">
        <f>IF(OR(H101="",F101="",G101=""),"",H101-F101-G101)</f>
        <v/>
      </c>
      <c r="K101" s="24" t="str">
        <f>IFERROR(J101/I101,"")</f>
        <v/>
      </c>
      <c r="L101" s="23" t="str">
        <f>IF(tbAvaliacaoSLA[[#This Row],[Competência]]="","",Parâmetros!$B$4)</f>
        <v/>
      </c>
      <c r="M101" s="24" t="str">
        <f>IF(K101="","",MAX(0,L101-K101))</f>
        <v/>
      </c>
      <c r="N101" s="25" t="str">
        <f>IF(M101="","",IF(Parâmetros!$B$7="INICIADA",ROUNDUP(M101/Parâmetros!$B$5,0),ROUNDDOWN(M101/Parâmetros!$B$5,0)))</f>
        <v/>
      </c>
      <c r="O101" s="25" t="str">
        <f>IF(N101="","",N101*Parâmetros!$B$6)</f>
        <v/>
      </c>
      <c r="P101" s="26" t="str">
        <f>IF(K101="","",IF(OR(I101&lt;=0,J101&lt;0,J101&gt;I101),"REVISAR DADOS",IF(K101&gt;=L101,"ATENDIDO","NÃO ATENDIDO")))</f>
        <v/>
      </c>
      <c r="Q101" s="16"/>
    </row>
    <row r="102" spans="1:17" ht="15" customHeight="1" x14ac:dyDescent="0.2">
      <c r="A102" s="29"/>
      <c r="B102" s="29"/>
      <c r="C102" s="16"/>
      <c r="D102" s="60"/>
      <c r="E102" s="18" t="str">
        <f>IF(tbAvaliacaoSLA[[#This Row],[Competência]]="","",DAY(EOMONTH(tbAvaliacaoSLA[[#This Row],[Competência]],0))*24)</f>
        <v/>
      </c>
      <c r="F102" s="19"/>
      <c r="G102" s="19">
        <v>0</v>
      </c>
      <c r="H102" s="20" t="str">
        <f>IF(OR(E102="",D102=""),"",E102*D102)</f>
        <v/>
      </c>
      <c r="I102" s="21" t="str">
        <f>IF(OR(E102="",F102="",G102=""),"",E102-F102-G102)</f>
        <v/>
      </c>
      <c r="J102" s="21" t="str">
        <f>IF(OR(H102="",F102="",G102=""),"",H102-F102-G102)</f>
        <v/>
      </c>
      <c r="K102" s="24" t="str">
        <f>IFERROR(J102/I102,"")</f>
        <v/>
      </c>
      <c r="L102" s="23" t="str">
        <f>IF(tbAvaliacaoSLA[[#This Row],[Competência]]="","",Parâmetros!$B$4)</f>
        <v/>
      </c>
      <c r="M102" s="24" t="str">
        <f>IF(K102="","",MAX(0,L102-K102))</f>
        <v/>
      </c>
      <c r="N102" s="25" t="str">
        <f>IF(M102="","",IF(Parâmetros!$B$7="INICIADA",ROUNDUP(M102/Parâmetros!$B$5,0),ROUNDDOWN(M102/Parâmetros!$B$5,0)))</f>
        <v/>
      </c>
      <c r="O102" s="25" t="str">
        <f>IF(N102="","",N102*Parâmetros!$B$6)</f>
        <v/>
      </c>
      <c r="P102" s="26" t="str">
        <f>IF(K102="","",IF(OR(I102&lt;=0,J102&lt;0,J102&gt;I102),"REVISAR DADOS",IF(K102&gt;=L102,"ATENDIDO","NÃO ATENDIDO")))</f>
        <v/>
      </c>
      <c r="Q102" s="16"/>
    </row>
    <row r="103" spans="1:17" ht="15" customHeight="1" x14ac:dyDescent="0.2">
      <c r="A103" s="29"/>
      <c r="B103" s="29"/>
      <c r="C103" s="16"/>
      <c r="D103" s="60"/>
      <c r="E103" s="18" t="str">
        <f>IF(tbAvaliacaoSLA[[#This Row],[Competência]]="","",DAY(EOMONTH(tbAvaliacaoSLA[[#This Row],[Competência]],0))*24)</f>
        <v/>
      </c>
      <c r="F103" s="19"/>
      <c r="G103" s="19">
        <v>0</v>
      </c>
      <c r="H103" s="20" t="str">
        <f>IF(OR(E103="",D103=""),"",E103*D103)</f>
        <v/>
      </c>
      <c r="I103" s="21" t="str">
        <f>IF(OR(E103="",F103="",G103=""),"",E103-F103-G103)</f>
        <v/>
      </c>
      <c r="J103" s="21" t="str">
        <f>IF(OR(H103="",F103="",G103=""),"",H103-F103-G103)</f>
        <v/>
      </c>
      <c r="K103" s="24" t="str">
        <f>IFERROR(J103/I103,"")</f>
        <v/>
      </c>
      <c r="L103" s="23" t="str">
        <f>IF(tbAvaliacaoSLA[[#This Row],[Competência]]="","",Parâmetros!$B$4)</f>
        <v/>
      </c>
      <c r="M103" s="24" t="str">
        <f>IF(K103="","",MAX(0,L103-K103))</f>
        <v/>
      </c>
      <c r="N103" s="25" t="str">
        <f>IF(M103="","",IF(Parâmetros!$B$7="INICIADA",ROUNDUP(M103/Parâmetros!$B$5,0),ROUNDDOWN(M103/Parâmetros!$B$5,0)))</f>
        <v/>
      </c>
      <c r="O103" s="25" t="str">
        <f>IF(N103="","",N103*Parâmetros!$B$6)</f>
        <v/>
      </c>
      <c r="P103" s="26" t="str">
        <f>IF(K103="","",IF(OR(I103&lt;=0,J103&lt;0,J103&gt;I103),"REVISAR DADOS",IF(K103&gt;=L103,"ATENDIDO","NÃO ATENDIDO")))</f>
        <v/>
      </c>
      <c r="Q103" s="16"/>
    </row>
    <row r="104" spans="1:17" ht="15" customHeight="1" x14ac:dyDescent="0.2">
      <c r="A104" s="29"/>
      <c r="B104" s="29"/>
      <c r="C104" s="16"/>
      <c r="D104" s="60"/>
      <c r="E104" s="18" t="str">
        <f>IF(tbAvaliacaoSLA[[#This Row],[Competência]]="","",DAY(EOMONTH(tbAvaliacaoSLA[[#This Row],[Competência]],0))*24)</f>
        <v/>
      </c>
      <c r="F104" s="19"/>
      <c r="G104" s="19">
        <v>0</v>
      </c>
      <c r="H104" s="20" t="str">
        <f>IF(OR(E104="",D104=""),"",E104*D104)</f>
        <v/>
      </c>
      <c r="I104" s="21" t="str">
        <f>IF(OR(E104="",F104="",G104=""),"",E104-F104-G104)</f>
        <v/>
      </c>
      <c r="J104" s="21" t="str">
        <f>IF(OR(H104="",F104="",G104=""),"",H104-F104-G104)</f>
        <v/>
      </c>
      <c r="K104" s="24" t="str">
        <f>IFERROR(J104/I104,"")</f>
        <v/>
      </c>
      <c r="L104" s="23" t="str">
        <f>IF(tbAvaliacaoSLA[[#This Row],[Competência]]="","",Parâmetros!$B$4)</f>
        <v/>
      </c>
      <c r="M104" s="24" t="str">
        <f>IF(K104="","",MAX(0,L104-K104))</f>
        <v/>
      </c>
      <c r="N104" s="25" t="str">
        <f>IF(M104="","",IF(Parâmetros!$B$7="INICIADA",ROUNDUP(M104/Parâmetros!$B$5,0),ROUNDDOWN(M104/Parâmetros!$B$5,0)))</f>
        <v/>
      </c>
      <c r="O104" s="25" t="str">
        <f>IF(N104="","",N104*Parâmetros!$B$6)</f>
        <v/>
      </c>
      <c r="P104" s="26" t="str">
        <f>IF(K104="","",IF(OR(I104&lt;=0,J104&lt;0,J104&gt;I104),"REVISAR DADOS",IF(K104&gt;=L104,"ATENDIDO","NÃO ATENDIDO")))</f>
        <v/>
      </c>
      <c r="Q104" s="16"/>
    </row>
    <row r="105" spans="1:17" ht="15" customHeight="1" x14ac:dyDescent="0.2">
      <c r="A105" s="29"/>
      <c r="B105" s="29"/>
      <c r="C105" s="16"/>
      <c r="D105" s="60"/>
      <c r="E105" s="18" t="str">
        <f>IF(tbAvaliacaoSLA[[#This Row],[Competência]]="","",DAY(EOMONTH(tbAvaliacaoSLA[[#This Row],[Competência]],0))*24)</f>
        <v/>
      </c>
      <c r="F105" s="19"/>
      <c r="G105" s="19">
        <v>0</v>
      </c>
      <c r="H105" s="20" t="str">
        <f>IF(OR(E105="",D105=""),"",E105*D105)</f>
        <v/>
      </c>
      <c r="I105" s="21" t="str">
        <f>IF(OR(E105="",F105="",G105=""),"",E105-F105-G105)</f>
        <v/>
      </c>
      <c r="J105" s="21" t="str">
        <f>IF(OR(H105="",F105="",G105=""),"",H105-F105-G105)</f>
        <v/>
      </c>
      <c r="K105" s="24" t="str">
        <f>IFERROR(J105/I105,"")</f>
        <v/>
      </c>
      <c r="L105" s="23" t="str">
        <f>IF(tbAvaliacaoSLA[[#This Row],[Competência]]="","",Parâmetros!$B$4)</f>
        <v/>
      </c>
      <c r="M105" s="24" t="str">
        <f>IF(K105="","",MAX(0,L105-K105))</f>
        <v/>
      </c>
      <c r="N105" s="25" t="str">
        <f>IF(M105="","",IF(Parâmetros!$B$7="INICIADA",ROUNDUP(M105/Parâmetros!$B$5,0),ROUNDDOWN(M105/Parâmetros!$B$5,0)))</f>
        <v/>
      </c>
      <c r="O105" s="25" t="str">
        <f>IF(N105="","",N105*Parâmetros!$B$6)</f>
        <v/>
      </c>
      <c r="P105" s="26" t="str">
        <f>IF(K105="","",IF(OR(I105&lt;=0,J105&lt;0,J105&gt;I105),"REVISAR DADOS",IF(K105&gt;=L105,"ATENDIDO","NÃO ATENDIDO")))</f>
        <v/>
      </c>
      <c r="Q105" s="16"/>
    </row>
    <row r="106" spans="1:17" ht="15" customHeight="1" x14ac:dyDescent="0.2">
      <c r="A106" s="29"/>
      <c r="B106" s="29"/>
      <c r="C106" s="16"/>
      <c r="D106" s="60"/>
      <c r="E106" s="18" t="str">
        <f>IF(tbAvaliacaoSLA[[#This Row],[Competência]]="","",DAY(EOMONTH(tbAvaliacaoSLA[[#This Row],[Competência]],0))*24)</f>
        <v/>
      </c>
      <c r="F106" s="19"/>
      <c r="G106" s="19">
        <v>0</v>
      </c>
      <c r="H106" s="20" t="str">
        <f>IF(OR(E106="",D106=""),"",E106*D106)</f>
        <v/>
      </c>
      <c r="I106" s="21" t="str">
        <f>IF(OR(E106="",F106="",G106=""),"",E106-F106-G106)</f>
        <v/>
      </c>
      <c r="J106" s="21" t="str">
        <f>IF(OR(H106="",F106="",G106=""),"",H106-F106-G106)</f>
        <v/>
      </c>
      <c r="K106" s="24" t="str">
        <f>IFERROR(J106/I106,"")</f>
        <v/>
      </c>
      <c r="L106" s="23" t="str">
        <f>IF(tbAvaliacaoSLA[[#This Row],[Competência]]="","",Parâmetros!$B$4)</f>
        <v/>
      </c>
      <c r="M106" s="24" t="str">
        <f>IF(K106="","",MAX(0,L106-K106))</f>
        <v/>
      </c>
      <c r="N106" s="25" t="str">
        <f>IF(M106="","",IF(Parâmetros!$B$7="INICIADA",ROUNDUP(M106/Parâmetros!$B$5,0),ROUNDDOWN(M106/Parâmetros!$B$5,0)))</f>
        <v/>
      </c>
      <c r="O106" s="25" t="str">
        <f>IF(N106="","",N106*Parâmetros!$B$6)</f>
        <v/>
      </c>
      <c r="P106" s="26" t="str">
        <f>IF(K106="","",IF(OR(I106&lt;=0,J106&lt;0,J106&gt;I106),"REVISAR DADOS",IF(K106&gt;=L106,"ATENDIDO","NÃO ATENDIDO")))</f>
        <v/>
      </c>
      <c r="Q106" s="16"/>
    </row>
    <row r="107" spans="1:17" ht="15" customHeight="1" x14ac:dyDescent="0.2">
      <c r="A107" s="29"/>
      <c r="B107" s="29"/>
      <c r="C107" s="16"/>
      <c r="D107" s="60"/>
      <c r="E107" s="18" t="str">
        <f>IF(tbAvaliacaoSLA[[#This Row],[Competência]]="","",DAY(EOMONTH(tbAvaliacaoSLA[[#This Row],[Competência]],0))*24)</f>
        <v/>
      </c>
      <c r="F107" s="19"/>
      <c r="G107" s="19">
        <v>0</v>
      </c>
      <c r="H107" s="20" t="str">
        <f>IF(OR(E107="",D107=""),"",E107*D107)</f>
        <v/>
      </c>
      <c r="I107" s="21" t="str">
        <f>IF(OR(E107="",F107="",G107=""),"",E107-F107-G107)</f>
        <v/>
      </c>
      <c r="J107" s="21" t="str">
        <f>IF(OR(H107="",F107="",G107=""),"",H107-F107-G107)</f>
        <v/>
      </c>
      <c r="K107" s="24" t="str">
        <f>IFERROR(J107/I107,"")</f>
        <v/>
      </c>
      <c r="L107" s="23" t="str">
        <f>IF(tbAvaliacaoSLA[[#This Row],[Competência]]="","",Parâmetros!$B$4)</f>
        <v/>
      </c>
      <c r="M107" s="24" t="str">
        <f>IF(K107="","",MAX(0,L107-K107))</f>
        <v/>
      </c>
      <c r="N107" s="25" t="str">
        <f>IF(M107="","",IF(Parâmetros!$B$7="INICIADA",ROUNDUP(M107/Parâmetros!$B$5,0),ROUNDDOWN(M107/Parâmetros!$B$5,0)))</f>
        <v/>
      </c>
      <c r="O107" s="25" t="str">
        <f>IF(N107="","",N107*Parâmetros!$B$6)</f>
        <v/>
      </c>
      <c r="P107" s="26" t="str">
        <f>IF(K107="","",IF(OR(I107&lt;=0,J107&lt;0,J107&gt;I107),"REVISAR DADOS",IF(K107&gt;=L107,"ATENDIDO","NÃO ATENDIDO")))</f>
        <v/>
      </c>
      <c r="Q107" s="16"/>
    </row>
    <row r="108" spans="1:17" ht="15" customHeight="1" x14ac:dyDescent="0.2">
      <c r="A108" s="29"/>
      <c r="B108" s="29"/>
      <c r="C108" s="16"/>
      <c r="D108" s="60"/>
      <c r="E108" s="18" t="str">
        <f>IF(tbAvaliacaoSLA[[#This Row],[Competência]]="","",DAY(EOMONTH(tbAvaliacaoSLA[[#This Row],[Competência]],0))*24)</f>
        <v/>
      </c>
      <c r="F108" s="19"/>
      <c r="G108" s="19">
        <v>0</v>
      </c>
      <c r="H108" s="20" t="str">
        <f>IF(OR(E108="",D108=""),"",E108*D108)</f>
        <v/>
      </c>
      <c r="I108" s="21" t="str">
        <f>IF(OR(E108="",F108="",G108=""),"",E108-F108-G108)</f>
        <v/>
      </c>
      <c r="J108" s="21" t="str">
        <f>IF(OR(H108="",F108="",G108=""),"",H108-F108-G108)</f>
        <v/>
      </c>
      <c r="K108" s="24" t="str">
        <f>IFERROR(J108/I108,"")</f>
        <v/>
      </c>
      <c r="L108" s="23" t="str">
        <f>IF(tbAvaliacaoSLA[[#This Row],[Competência]]="","",Parâmetros!$B$4)</f>
        <v/>
      </c>
      <c r="M108" s="24" t="str">
        <f>IF(K108="","",MAX(0,L108-K108))</f>
        <v/>
      </c>
      <c r="N108" s="25" t="str">
        <f>IF(M108="","",IF(Parâmetros!$B$7="INICIADA",ROUNDUP(M108/Parâmetros!$B$5,0),ROUNDDOWN(M108/Parâmetros!$B$5,0)))</f>
        <v/>
      </c>
      <c r="O108" s="25" t="str">
        <f>IF(N108="","",N108*Parâmetros!$B$6)</f>
        <v/>
      </c>
      <c r="P108" s="26" t="str">
        <f>IF(K108="","",IF(OR(I108&lt;=0,J108&lt;0,J108&gt;I108),"REVISAR DADOS",IF(K108&gt;=L108,"ATENDIDO","NÃO ATENDIDO")))</f>
        <v/>
      </c>
      <c r="Q108" s="16"/>
    </row>
    <row r="109" spans="1:17" ht="15" customHeight="1" x14ac:dyDescent="0.2">
      <c r="A109" s="29"/>
      <c r="B109" s="29"/>
      <c r="C109" s="16"/>
      <c r="D109" s="60"/>
      <c r="E109" s="18" t="str">
        <f>IF(tbAvaliacaoSLA[[#This Row],[Competência]]="","",DAY(EOMONTH(tbAvaliacaoSLA[[#This Row],[Competência]],0))*24)</f>
        <v/>
      </c>
      <c r="F109" s="19"/>
      <c r="G109" s="19">
        <v>0</v>
      </c>
      <c r="H109" s="20" t="str">
        <f>IF(OR(E109="",D109=""),"",E109*D109)</f>
        <v/>
      </c>
      <c r="I109" s="21" t="str">
        <f>IF(OR(E109="",F109="",G109=""),"",E109-F109-G109)</f>
        <v/>
      </c>
      <c r="J109" s="21" t="str">
        <f>IF(OR(H109="",F109="",G109=""),"",H109-F109-G109)</f>
        <v/>
      </c>
      <c r="K109" s="24" t="str">
        <f>IFERROR(J109/I109,"")</f>
        <v/>
      </c>
      <c r="L109" s="23" t="str">
        <f>IF(tbAvaliacaoSLA[[#This Row],[Competência]]="","",Parâmetros!$B$4)</f>
        <v/>
      </c>
      <c r="M109" s="24" t="str">
        <f>IF(K109="","",MAX(0,L109-K109))</f>
        <v/>
      </c>
      <c r="N109" s="25" t="str">
        <f>IF(M109="","",IF(Parâmetros!$B$7="INICIADA",ROUNDUP(M109/Parâmetros!$B$5,0),ROUNDDOWN(M109/Parâmetros!$B$5,0)))</f>
        <v/>
      </c>
      <c r="O109" s="25" t="str">
        <f>IF(N109="","",N109*Parâmetros!$B$6)</f>
        <v/>
      </c>
      <c r="P109" s="26" t="str">
        <f>IF(K109="","",IF(OR(I109&lt;=0,J109&lt;0,J109&gt;I109),"REVISAR DADOS",IF(K109&gt;=L109,"ATENDIDO","NÃO ATENDIDO")))</f>
        <v/>
      </c>
      <c r="Q109" s="16"/>
    </row>
    <row r="110" spans="1:17" ht="15" customHeight="1" x14ac:dyDescent="0.2">
      <c r="A110" s="29"/>
      <c r="B110" s="29"/>
      <c r="C110" s="16"/>
      <c r="D110" s="60"/>
      <c r="E110" s="18" t="str">
        <f>IF(tbAvaliacaoSLA[[#This Row],[Competência]]="","",DAY(EOMONTH(tbAvaliacaoSLA[[#This Row],[Competência]],0))*24)</f>
        <v/>
      </c>
      <c r="F110" s="19"/>
      <c r="G110" s="19">
        <v>0</v>
      </c>
      <c r="H110" s="20" t="str">
        <f>IF(OR(E110="",D110=""),"",E110*D110)</f>
        <v/>
      </c>
      <c r="I110" s="21" t="str">
        <f>IF(OR(E110="",F110="",G110=""),"",E110-F110-G110)</f>
        <v/>
      </c>
      <c r="J110" s="21" t="str">
        <f>IF(OR(H110="",F110="",G110=""),"",H110-F110-G110)</f>
        <v/>
      </c>
      <c r="K110" s="24" t="str">
        <f>IFERROR(J110/I110,"")</f>
        <v/>
      </c>
      <c r="L110" s="23" t="str">
        <f>IF(tbAvaliacaoSLA[[#This Row],[Competência]]="","",Parâmetros!$B$4)</f>
        <v/>
      </c>
      <c r="M110" s="24" t="str">
        <f>IF(K110="","",MAX(0,L110-K110))</f>
        <v/>
      </c>
      <c r="N110" s="25" t="str">
        <f>IF(M110="","",IF(Parâmetros!$B$7="INICIADA",ROUNDUP(M110/Parâmetros!$B$5,0),ROUNDDOWN(M110/Parâmetros!$B$5,0)))</f>
        <v/>
      </c>
      <c r="O110" s="25" t="str">
        <f>IF(N110="","",N110*Parâmetros!$B$6)</f>
        <v/>
      </c>
      <c r="P110" s="26" t="str">
        <f>IF(K110="","",IF(OR(I110&lt;=0,J110&lt;0,J110&gt;I110),"REVISAR DADOS",IF(K110&gt;=L110,"ATENDIDO","NÃO ATENDIDO")))</f>
        <v/>
      </c>
      <c r="Q110" s="16"/>
    </row>
    <row r="111" spans="1:17" ht="15" customHeight="1" x14ac:dyDescent="0.2">
      <c r="A111" s="29"/>
      <c r="B111" s="29"/>
      <c r="C111" s="16"/>
      <c r="D111" s="60"/>
      <c r="E111" s="18" t="str">
        <f>IF(tbAvaliacaoSLA[[#This Row],[Competência]]="","",DAY(EOMONTH(tbAvaliacaoSLA[[#This Row],[Competência]],0))*24)</f>
        <v/>
      </c>
      <c r="F111" s="19"/>
      <c r="G111" s="19">
        <v>0</v>
      </c>
      <c r="H111" s="20" t="str">
        <f>IF(OR(E111="",D111=""),"",E111*D111)</f>
        <v/>
      </c>
      <c r="I111" s="21" t="str">
        <f>IF(OR(E111="",F111="",G111=""),"",E111-F111-G111)</f>
        <v/>
      </c>
      <c r="J111" s="21" t="str">
        <f>IF(OR(H111="",F111="",G111=""),"",H111-F111-G111)</f>
        <v/>
      </c>
      <c r="K111" s="24" t="str">
        <f>IFERROR(J111/I111,"")</f>
        <v/>
      </c>
      <c r="L111" s="23" t="str">
        <f>IF(tbAvaliacaoSLA[[#This Row],[Competência]]="","",Parâmetros!$B$4)</f>
        <v/>
      </c>
      <c r="M111" s="24" t="str">
        <f>IF(K111="","",MAX(0,L111-K111))</f>
        <v/>
      </c>
      <c r="N111" s="25" t="str">
        <f>IF(M111="","",IF(Parâmetros!$B$7="INICIADA",ROUNDUP(M111/Parâmetros!$B$5,0),ROUNDDOWN(M111/Parâmetros!$B$5,0)))</f>
        <v/>
      </c>
      <c r="O111" s="25" t="str">
        <f>IF(N111="","",N111*Parâmetros!$B$6)</f>
        <v/>
      </c>
      <c r="P111" s="26" t="str">
        <f>IF(K111="","",IF(OR(I111&lt;=0,J111&lt;0,J111&gt;I111),"REVISAR DADOS",IF(K111&gt;=L111,"ATENDIDO","NÃO ATENDIDO")))</f>
        <v/>
      </c>
      <c r="Q111" s="16"/>
    </row>
    <row r="112" spans="1:17" ht="15" customHeight="1" x14ac:dyDescent="0.2">
      <c r="A112" s="29"/>
      <c r="B112" s="29"/>
      <c r="C112" s="16"/>
      <c r="D112" s="60"/>
      <c r="E112" s="18" t="str">
        <f>IF(tbAvaliacaoSLA[[#This Row],[Competência]]="","",DAY(EOMONTH(tbAvaliacaoSLA[[#This Row],[Competência]],0))*24)</f>
        <v/>
      </c>
      <c r="F112" s="19"/>
      <c r="G112" s="19">
        <v>0</v>
      </c>
      <c r="H112" s="20" t="str">
        <f>IF(OR(E112="",D112=""),"",E112*D112)</f>
        <v/>
      </c>
      <c r="I112" s="21" t="str">
        <f>IF(OR(E112="",F112="",G112=""),"",E112-F112-G112)</f>
        <v/>
      </c>
      <c r="J112" s="21" t="str">
        <f>IF(OR(H112="",F112="",G112=""),"",H112-F112-G112)</f>
        <v/>
      </c>
      <c r="K112" s="24" t="str">
        <f>IFERROR(J112/I112,"")</f>
        <v/>
      </c>
      <c r="L112" s="23" t="str">
        <f>IF(tbAvaliacaoSLA[[#This Row],[Competência]]="","",Parâmetros!$B$4)</f>
        <v/>
      </c>
      <c r="M112" s="24" t="str">
        <f>IF(K112="","",MAX(0,L112-K112))</f>
        <v/>
      </c>
      <c r="N112" s="25" t="str">
        <f>IF(M112="","",IF(Parâmetros!$B$7="INICIADA",ROUNDUP(M112/Parâmetros!$B$5,0),ROUNDDOWN(M112/Parâmetros!$B$5,0)))</f>
        <v/>
      </c>
      <c r="O112" s="25" t="str">
        <f>IF(N112="","",N112*Parâmetros!$B$6)</f>
        <v/>
      </c>
      <c r="P112" s="26" t="str">
        <f>IF(K112="","",IF(OR(I112&lt;=0,J112&lt;0,J112&gt;I112),"REVISAR DADOS",IF(K112&gt;=L112,"ATENDIDO","NÃO ATENDIDO")))</f>
        <v/>
      </c>
      <c r="Q112" s="16"/>
    </row>
    <row r="113" spans="1:17" ht="15" customHeight="1" x14ac:dyDescent="0.2">
      <c r="A113" s="29"/>
      <c r="B113" s="29"/>
      <c r="C113" s="16"/>
      <c r="D113" s="60"/>
      <c r="E113" s="18" t="str">
        <f>IF(tbAvaliacaoSLA[[#This Row],[Competência]]="","",DAY(EOMONTH(tbAvaliacaoSLA[[#This Row],[Competência]],0))*24)</f>
        <v/>
      </c>
      <c r="F113" s="19"/>
      <c r="G113" s="19">
        <v>0</v>
      </c>
      <c r="H113" s="20" t="str">
        <f>IF(OR(E113="",D113=""),"",E113*D113)</f>
        <v/>
      </c>
      <c r="I113" s="21" t="str">
        <f>IF(OR(E113="",F113="",G113=""),"",E113-F113-G113)</f>
        <v/>
      </c>
      <c r="J113" s="21" t="str">
        <f>IF(OR(H113="",F113="",G113=""),"",H113-F113-G113)</f>
        <v/>
      </c>
      <c r="K113" s="24" t="str">
        <f>IFERROR(J113/I113,"")</f>
        <v/>
      </c>
      <c r="L113" s="23" t="str">
        <f>IF(tbAvaliacaoSLA[[#This Row],[Competência]]="","",Parâmetros!$B$4)</f>
        <v/>
      </c>
      <c r="M113" s="24" t="str">
        <f>IF(K113="","",MAX(0,L113-K113))</f>
        <v/>
      </c>
      <c r="N113" s="25" t="str">
        <f>IF(M113="","",IF(Parâmetros!$B$7="INICIADA",ROUNDUP(M113/Parâmetros!$B$5,0),ROUNDDOWN(M113/Parâmetros!$B$5,0)))</f>
        <v/>
      </c>
      <c r="O113" s="25" t="str">
        <f>IF(N113="","",N113*Parâmetros!$B$6)</f>
        <v/>
      </c>
      <c r="P113" s="26" t="str">
        <f>IF(K113="","",IF(OR(I113&lt;=0,J113&lt;0,J113&gt;I113),"REVISAR DADOS",IF(K113&gt;=L113,"ATENDIDO","NÃO ATENDIDO")))</f>
        <v/>
      </c>
      <c r="Q113" s="16"/>
    </row>
    <row r="114" spans="1:17" ht="15" customHeight="1" x14ac:dyDescent="0.2">
      <c r="A114" s="29"/>
      <c r="B114" s="29"/>
      <c r="C114" s="16"/>
      <c r="D114" s="60"/>
      <c r="E114" s="18" t="str">
        <f>IF(tbAvaliacaoSLA[[#This Row],[Competência]]="","",DAY(EOMONTH(tbAvaliacaoSLA[[#This Row],[Competência]],0))*24)</f>
        <v/>
      </c>
      <c r="F114" s="19"/>
      <c r="G114" s="19">
        <v>0</v>
      </c>
      <c r="H114" s="20" t="str">
        <f>IF(OR(E114="",D114=""),"",E114*D114)</f>
        <v/>
      </c>
      <c r="I114" s="21" t="str">
        <f>IF(OR(E114="",F114="",G114=""),"",E114-F114-G114)</f>
        <v/>
      </c>
      <c r="J114" s="21" t="str">
        <f>IF(OR(H114="",F114="",G114=""),"",H114-F114-G114)</f>
        <v/>
      </c>
      <c r="K114" s="24" t="str">
        <f>IFERROR(J114/I114,"")</f>
        <v/>
      </c>
      <c r="L114" s="23" t="str">
        <f>IF(tbAvaliacaoSLA[[#This Row],[Competência]]="","",Parâmetros!$B$4)</f>
        <v/>
      </c>
      <c r="M114" s="24" t="str">
        <f>IF(K114="","",MAX(0,L114-K114))</f>
        <v/>
      </c>
      <c r="N114" s="25" t="str">
        <f>IF(M114="","",IF(Parâmetros!$B$7="INICIADA",ROUNDUP(M114/Parâmetros!$B$5,0),ROUNDDOWN(M114/Parâmetros!$B$5,0)))</f>
        <v/>
      </c>
      <c r="O114" s="25" t="str">
        <f>IF(N114="","",N114*Parâmetros!$B$6)</f>
        <v/>
      </c>
      <c r="P114" s="26" t="str">
        <f>IF(K114="","",IF(OR(I114&lt;=0,J114&lt;0,J114&gt;I114),"REVISAR DADOS",IF(K114&gt;=L114,"ATENDIDO","NÃO ATENDIDO")))</f>
        <v/>
      </c>
      <c r="Q114" s="16"/>
    </row>
    <row r="115" spans="1:17" ht="15" customHeight="1" x14ac:dyDescent="0.2">
      <c r="A115" s="29"/>
      <c r="B115" s="29"/>
      <c r="C115" s="16"/>
      <c r="D115" s="60"/>
      <c r="E115" s="18" t="str">
        <f>IF(tbAvaliacaoSLA[[#This Row],[Competência]]="","",DAY(EOMONTH(tbAvaliacaoSLA[[#This Row],[Competência]],0))*24)</f>
        <v/>
      </c>
      <c r="F115" s="19"/>
      <c r="G115" s="19">
        <v>0</v>
      </c>
      <c r="H115" s="20" t="str">
        <f>IF(OR(E115="",D115=""),"",E115*D115)</f>
        <v/>
      </c>
      <c r="I115" s="21" t="str">
        <f>IF(OR(E115="",F115="",G115=""),"",E115-F115-G115)</f>
        <v/>
      </c>
      <c r="J115" s="21" t="str">
        <f>IF(OR(H115="",F115="",G115=""),"",H115-F115-G115)</f>
        <v/>
      </c>
      <c r="K115" s="24" t="str">
        <f>IFERROR(J115/I115,"")</f>
        <v/>
      </c>
      <c r="L115" s="23" t="str">
        <f>IF(tbAvaliacaoSLA[[#This Row],[Competência]]="","",Parâmetros!$B$4)</f>
        <v/>
      </c>
      <c r="M115" s="24" t="str">
        <f>IF(K115="","",MAX(0,L115-K115))</f>
        <v/>
      </c>
      <c r="N115" s="25" t="str">
        <f>IF(M115="","",IF(Parâmetros!$B$7="INICIADA",ROUNDUP(M115/Parâmetros!$B$5,0),ROUNDDOWN(M115/Parâmetros!$B$5,0)))</f>
        <v/>
      </c>
      <c r="O115" s="25" t="str">
        <f>IF(N115="","",N115*Parâmetros!$B$6)</f>
        <v/>
      </c>
      <c r="P115" s="26" t="str">
        <f>IF(K115="","",IF(OR(I115&lt;=0,J115&lt;0,J115&gt;I115),"REVISAR DADOS",IF(K115&gt;=L115,"ATENDIDO","NÃO ATENDIDO")))</f>
        <v/>
      </c>
      <c r="Q115" s="16"/>
    </row>
    <row r="116" spans="1:17" ht="15" customHeight="1" x14ac:dyDescent="0.2">
      <c r="A116" s="29"/>
      <c r="B116" s="29"/>
      <c r="C116" s="16"/>
      <c r="D116" s="60"/>
      <c r="E116" s="18" t="str">
        <f>IF(tbAvaliacaoSLA[[#This Row],[Competência]]="","",DAY(EOMONTH(tbAvaliacaoSLA[[#This Row],[Competência]],0))*24)</f>
        <v/>
      </c>
      <c r="F116" s="19"/>
      <c r="G116" s="19">
        <v>0</v>
      </c>
      <c r="H116" s="20" t="str">
        <f>IF(OR(E116="",D116=""),"",E116*D116)</f>
        <v/>
      </c>
      <c r="I116" s="21" t="str">
        <f>IF(OR(E116="",F116="",G116=""),"",E116-F116-G116)</f>
        <v/>
      </c>
      <c r="J116" s="21" t="str">
        <f>IF(OR(H116="",F116="",G116=""),"",H116-F116-G116)</f>
        <v/>
      </c>
      <c r="K116" s="24" t="str">
        <f>IFERROR(J116/I116,"")</f>
        <v/>
      </c>
      <c r="L116" s="23" t="str">
        <f>IF(tbAvaliacaoSLA[[#This Row],[Competência]]="","",Parâmetros!$B$4)</f>
        <v/>
      </c>
      <c r="M116" s="24" t="str">
        <f>IF(K116="","",MAX(0,L116-K116))</f>
        <v/>
      </c>
      <c r="N116" s="25" t="str">
        <f>IF(M116="","",IF(Parâmetros!$B$7="INICIADA",ROUNDUP(M116/Parâmetros!$B$5,0),ROUNDDOWN(M116/Parâmetros!$B$5,0)))</f>
        <v/>
      </c>
      <c r="O116" s="25" t="str">
        <f>IF(N116="","",N116*Parâmetros!$B$6)</f>
        <v/>
      </c>
      <c r="P116" s="26" t="str">
        <f>IF(K116="","",IF(OR(I116&lt;=0,J116&lt;0,J116&gt;I116),"REVISAR DADOS",IF(K116&gt;=L116,"ATENDIDO","NÃO ATENDIDO")))</f>
        <v/>
      </c>
      <c r="Q116" s="16"/>
    </row>
    <row r="117" spans="1:17" ht="15" customHeight="1" x14ac:dyDescent="0.2">
      <c r="A117" s="29"/>
      <c r="B117" s="29"/>
      <c r="C117" s="16"/>
      <c r="D117" s="60"/>
      <c r="E117" s="18" t="str">
        <f>IF(tbAvaliacaoSLA[[#This Row],[Competência]]="","",DAY(EOMONTH(tbAvaliacaoSLA[[#This Row],[Competência]],0))*24)</f>
        <v/>
      </c>
      <c r="F117" s="19"/>
      <c r="G117" s="19">
        <v>0</v>
      </c>
      <c r="H117" s="20" t="str">
        <f>IF(OR(E117="",D117=""),"",E117*D117)</f>
        <v/>
      </c>
      <c r="I117" s="21" t="str">
        <f>IF(OR(E117="",F117="",G117=""),"",E117-F117-G117)</f>
        <v/>
      </c>
      <c r="J117" s="21" t="str">
        <f>IF(OR(H117="",F117="",G117=""),"",H117-F117-G117)</f>
        <v/>
      </c>
      <c r="K117" s="24" t="str">
        <f>IFERROR(J117/I117,"")</f>
        <v/>
      </c>
      <c r="L117" s="23" t="str">
        <f>IF(tbAvaliacaoSLA[[#This Row],[Competência]]="","",Parâmetros!$B$4)</f>
        <v/>
      </c>
      <c r="M117" s="24" t="str">
        <f>IF(K117="","",MAX(0,L117-K117))</f>
        <v/>
      </c>
      <c r="N117" s="25" t="str">
        <f>IF(M117="","",IF(Parâmetros!$B$7="INICIADA",ROUNDUP(M117/Parâmetros!$B$5,0),ROUNDDOWN(M117/Parâmetros!$B$5,0)))</f>
        <v/>
      </c>
      <c r="O117" s="25" t="str">
        <f>IF(N117="","",N117*Parâmetros!$B$6)</f>
        <v/>
      </c>
      <c r="P117" s="26" t="str">
        <f>IF(K117="","",IF(OR(I117&lt;=0,J117&lt;0,J117&gt;I117),"REVISAR DADOS",IF(K117&gt;=L117,"ATENDIDO","NÃO ATENDIDO")))</f>
        <v/>
      </c>
      <c r="Q117" s="16"/>
    </row>
    <row r="118" spans="1:17" ht="15" customHeight="1" x14ac:dyDescent="0.2">
      <c r="A118" s="29"/>
      <c r="B118" s="29"/>
      <c r="C118" s="16"/>
      <c r="D118" s="60"/>
      <c r="E118" s="18" t="str">
        <f>IF(tbAvaliacaoSLA[[#This Row],[Competência]]="","",DAY(EOMONTH(tbAvaliacaoSLA[[#This Row],[Competência]],0))*24)</f>
        <v/>
      </c>
      <c r="F118" s="19"/>
      <c r="G118" s="19">
        <v>0</v>
      </c>
      <c r="H118" s="20" t="str">
        <f>IF(OR(E118="",D118=""),"",E118*D118)</f>
        <v/>
      </c>
      <c r="I118" s="21" t="str">
        <f>IF(OR(E118="",F118="",G118=""),"",E118-F118-G118)</f>
        <v/>
      </c>
      <c r="J118" s="21" t="str">
        <f>IF(OR(H118="",F118="",G118=""),"",H118-F118-G118)</f>
        <v/>
      </c>
      <c r="K118" s="24" t="str">
        <f>IFERROR(J118/I118,"")</f>
        <v/>
      </c>
      <c r="L118" s="23" t="str">
        <f>IF(tbAvaliacaoSLA[[#This Row],[Competência]]="","",Parâmetros!$B$4)</f>
        <v/>
      </c>
      <c r="M118" s="24" t="str">
        <f>IF(K118="","",MAX(0,L118-K118))</f>
        <v/>
      </c>
      <c r="N118" s="25" t="str">
        <f>IF(M118="","",IF(Parâmetros!$B$7="INICIADA",ROUNDUP(M118/Parâmetros!$B$5,0),ROUNDDOWN(M118/Parâmetros!$B$5,0)))</f>
        <v/>
      </c>
      <c r="O118" s="25" t="str">
        <f>IF(N118="","",N118*Parâmetros!$B$6)</f>
        <v/>
      </c>
      <c r="P118" s="26" t="str">
        <f>IF(K118="","",IF(OR(I118&lt;=0,J118&lt;0,J118&gt;I118),"REVISAR DADOS",IF(K118&gt;=L118,"ATENDIDO","NÃO ATENDIDO")))</f>
        <v/>
      </c>
      <c r="Q118" s="16"/>
    </row>
    <row r="119" spans="1:17" ht="15" customHeight="1" x14ac:dyDescent="0.2">
      <c r="A119" s="29"/>
      <c r="B119" s="29"/>
      <c r="C119" s="16"/>
      <c r="D119" s="60"/>
      <c r="E119" s="30" t="str">
        <f>IF(tbAvaliacaoSLA[[#This Row],[Competência]]="","",DAY(EOMONTH(tbAvaliacaoSLA[[#This Row],[Competência]],0))*24)</f>
        <v/>
      </c>
      <c r="F119" s="19"/>
      <c r="G119" s="19">
        <v>0</v>
      </c>
      <c r="H119" s="20" t="str">
        <f>IF(OR(E119="",D119=""),"",E119*D119)</f>
        <v/>
      </c>
      <c r="I119" s="21" t="str">
        <f>IF(OR(E119="",F119="",G119=""),"",E119-F119-G119)</f>
        <v/>
      </c>
      <c r="J119" s="21" t="str">
        <f>IF(OR(H119="",F119="",G119=""),"",H119-F119-G119)</f>
        <v/>
      </c>
      <c r="K119" s="24" t="str">
        <f>IFERROR(J119/I119,"")</f>
        <v/>
      </c>
      <c r="L119" s="23" t="str">
        <f>IF(tbAvaliacaoSLA[[#This Row],[Competência]]="","",Parâmetros!$B$4)</f>
        <v/>
      </c>
      <c r="M119" s="24" t="str">
        <f>IF(K119="","",MAX(0,L119-K119))</f>
        <v/>
      </c>
      <c r="N119" s="25" t="str">
        <f>IF(M119="","",IF(Parâmetros!$B$7="INICIADA",ROUNDUP(M119/Parâmetros!$B$5,0),ROUNDDOWN(M119/Parâmetros!$B$5,0)))</f>
        <v/>
      </c>
      <c r="O119" s="25" t="str">
        <f>IF(N119="","",N119*Parâmetros!$B$6)</f>
        <v/>
      </c>
      <c r="P119" s="26" t="str">
        <f>IF(K119="","",IF(OR(I119&lt;=0,J119&lt;0,J119&gt;I119),"REVISAR DADOS",IF(K119&gt;=L119,"ATENDIDO","NÃO ATENDIDO")))</f>
        <v/>
      </c>
      <c r="Q119" s="16"/>
    </row>
    <row r="120" spans="1:17" ht="15" customHeight="1" x14ac:dyDescent="0.2">
      <c r="A120" s="29"/>
      <c r="B120" s="29"/>
      <c r="C120" s="16"/>
      <c r="D120" s="60"/>
      <c r="E120" s="30" t="str">
        <f>IF(tbAvaliacaoSLA[[#This Row],[Competência]]="","",DAY(EOMONTH(tbAvaliacaoSLA[[#This Row],[Competência]],0))*24)</f>
        <v/>
      </c>
      <c r="F120" s="19"/>
      <c r="G120" s="19">
        <v>0</v>
      </c>
      <c r="H120" s="20" t="str">
        <f>IF(OR(E120="",D120=""),"",E120*D120)</f>
        <v/>
      </c>
      <c r="I120" s="21" t="str">
        <f>IF(OR(E120="",F120="",G120=""),"",E120-F120-G120)</f>
        <v/>
      </c>
      <c r="J120" s="21" t="str">
        <f>IF(OR(H120="",F120="",G120=""),"",H120-F120-G120)</f>
        <v/>
      </c>
      <c r="K120" s="24" t="str">
        <f>IFERROR(J120/I120,"")</f>
        <v/>
      </c>
      <c r="L120" s="23" t="str">
        <f>IF(tbAvaliacaoSLA[[#This Row],[Competência]]="","",Parâmetros!$B$4)</f>
        <v/>
      </c>
      <c r="M120" s="24" t="str">
        <f>IF(K120="","",MAX(0,L120-K120))</f>
        <v/>
      </c>
      <c r="N120" s="25" t="str">
        <f>IF(M120="","",IF(Parâmetros!$B$7="INICIADA",ROUNDUP(M120/Parâmetros!$B$5,0),ROUNDDOWN(M120/Parâmetros!$B$5,0)))</f>
        <v/>
      </c>
      <c r="O120" s="25" t="str">
        <f>IF(N120="","",N120*Parâmetros!$B$6)</f>
        <v/>
      </c>
      <c r="P120" s="26" t="str">
        <f>IF(K120="","",IF(OR(I120&lt;=0,J120&lt;0,J120&gt;I120),"REVISAR DADOS",IF(K120&gt;=L120,"ATENDIDO","NÃO ATENDIDO")))</f>
        <v/>
      </c>
      <c r="Q120" s="16"/>
    </row>
    <row r="121" spans="1:17" ht="15" customHeight="1" x14ac:dyDescent="0.2">
      <c r="A121" s="29"/>
      <c r="B121" s="29"/>
      <c r="C121" s="16"/>
      <c r="D121" s="60"/>
      <c r="E121" s="30" t="str">
        <f>IF(tbAvaliacaoSLA[[#This Row],[Competência]]="","",DAY(EOMONTH(tbAvaliacaoSLA[[#This Row],[Competência]],0))*24)</f>
        <v/>
      </c>
      <c r="F121" s="19"/>
      <c r="G121" s="19">
        <v>0</v>
      </c>
      <c r="H121" s="20" t="str">
        <f>IF(OR(E121="",D121=""),"",E121*D121)</f>
        <v/>
      </c>
      <c r="I121" s="21" t="str">
        <f>IF(OR(E121="",F121="",G121=""),"",E121-F121-G121)</f>
        <v/>
      </c>
      <c r="J121" s="21" t="str">
        <f>IF(OR(H121="",F121="",G121=""),"",H121-F121-G121)</f>
        <v/>
      </c>
      <c r="K121" s="24" t="str">
        <f>IFERROR(J121/I121,"")</f>
        <v/>
      </c>
      <c r="L121" s="23" t="str">
        <f>IF(tbAvaliacaoSLA[[#This Row],[Competência]]="","",Parâmetros!$B$4)</f>
        <v/>
      </c>
      <c r="M121" s="24" t="str">
        <f>IF(K121="","",MAX(0,L121-K121))</f>
        <v/>
      </c>
      <c r="N121" s="25" t="str">
        <f>IF(M121="","",IF(Parâmetros!$B$7="INICIADA",ROUNDUP(M121/Parâmetros!$B$5,0),ROUNDDOWN(M121/Parâmetros!$B$5,0)))</f>
        <v/>
      </c>
      <c r="O121" s="25" t="str">
        <f>IF(N121="","",N121*Parâmetros!$B$6)</f>
        <v/>
      </c>
      <c r="P121" s="26" t="str">
        <f>IF(K121="","",IF(OR(I121&lt;=0,J121&lt;0,J121&gt;I121),"REVISAR DADOS",IF(K121&gt;=L121,"ATENDIDO","NÃO ATENDIDO")))</f>
        <v/>
      </c>
      <c r="Q121" s="16"/>
    </row>
    <row r="122" spans="1:17" ht="15" customHeight="1" x14ac:dyDescent="0.2">
      <c r="A122" s="29"/>
      <c r="B122" s="29"/>
      <c r="C122" s="16"/>
      <c r="D122" s="60"/>
      <c r="E122" s="30" t="str">
        <f>IF(tbAvaliacaoSLA[[#This Row],[Competência]]="","",DAY(EOMONTH(tbAvaliacaoSLA[[#This Row],[Competência]],0))*24)</f>
        <v/>
      </c>
      <c r="F122" s="19"/>
      <c r="G122" s="19">
        <v>0</v>
      </c>
      <c r="H122" s="20" t="str">
        <f>IF(OR(E122="",D122=""),"",E122*D122)</f>
        <v/>
      </c>
      <c r="I122" s="21" t="str">
        <f>IF(OR(E122="",F122="",G122=""),"",E122-F122-G122)</f>
        <v/>
      </c>
      <c r="J122" s="21" t="str">
        <f>IF(OR(H122="",F122="",G122=""),"",H122-F122-G122)</f>
        <v/>
      </c>
      <c r="K122" s="24" t="str">
        <f>IFERROR(J122/I122,"")</f>
        <v/>
      </c>
      <c r="L122" s="23" t="str">
        <f>IF(tbAvaliacaoSLA[[#This Row],[Competência]]="","",Parâmetros!$B$4)</f>
        <v/>
      </c>
      <c r="M122" s="24" t="str">
        <f>IF(K122="","",MAX(0,L122-K122))</f>
        <v/>
      </c>
      <c r="N122" s="25" t="str">
        <f>IF(M122="","",IF(Parâmetros!$B$7="INICIADA",ROUNDUP(M122/Parâmetros!$B$5,0),ROUNDDOWN(M122/Parâmetros!$B$5,0)))</f>
        <v/>
      </c>
      <c r="O122" s="25" t="str">
        <f>IF(N122="","",N122*Parâmetros!$B$6)</f>
        <v/>
      </c>
      <c r="P122" s="26" t="str">
        <f>IF(K122="","",IF(OR(I122&lt;=0,J122&lt;0,J122&gt;I122),"REVISAR DADOS",IF(K122&gt;=L122,"ATENDIDO","NÃO ATENDIDO")))</f>
        <v/>
      </c>
      <c r="Q122" s="16"/>
    </row>
    <row r="123" spans="1:17" ht="15" customHeight="1" x14ac:dyDescent="0.2">
      <c r="A123" s="29"/>
      <c r="B123" s="29"/>
      <c r="C123" s="16"/>
      <c r="D123" s="60"/>
      <c r="E123" s="30" t="str">
        <f>IF(tbAvaliacaoSLA[[#This Row],[Competência]]="","",DAY(EOMONTH(tbAvaliacaoSLA[[#This Row],[Competência]],0))*24)</f>
        <v/>
      </c>
      <c r="F123" s="19"/>
      <c r="G123" s="19">
        <v>0</v>
      </c>
      <c r="H123" s="20" t="str">
        <f>IF(OR(E123="",D123=""),"",E123*D123)</f>
        <v/>
      </c>
      <c r="I123" s="21" t="str">
        <f>IF(OR(E123="",F123="",G123=""),"",E123-F123-G123)</f>
        <v/>
      </c>
      <c r="J123" s="21" t="str">
        <f>IF(OR(H123="",F123="",G123=""),"",H123-F123-G123)</f>
        <v/>
      </c>
      <c r="K123" s="24" t="str">
        <f>IFERROR(J123/I123,"")</f>
        <v/>
      </c>
      <c r="L123" s="23" t="str">
        <f>IF(tbAvaliacaoSLA[[#This Row],[Competência]]="","",Parâmetros!$B$4)</f>
        <v/>
      </c>
      <c r="M123" s="24" t="str">
        <f>IF(K123="","",MAX(0,L123-K123))</f>
        <v/>
      </c>
      <c r="N123" s="25" t="str">
        <f>IF(M123="","",IF(Parâmetros!$B$7="INICIADA",ROUNDUP(M123/Parâmetros!$B$5,0),ROUNDDOWN(M123/Parâmetros!$B$5,0)))</f>
        <v/>
      </c>
      <c r="O123" s="25" t="str">
        <f>IF(N123="","",N123*Parâmetros!$B$6)</f>
        <v/>
      </c>
      <c r="P123" s="26" t="str">
        <f>IF(K123="","",IF(OR(I123&lt;=0,J123&lt;0,J123&gt;I123),"REVISAR DADOS",IF(K123&gt;=L123,"ATENDIDO","NÃO ATENDIDO")))</f>
        <v/>
      </c>
      <c r="Q123" s="16"/>
    </row>
    <row r="124" spans="1:17" ht="14.25" customHeight="1" x14ac:dyDescent="0.2">
      <c r="A124" s="31"/>
      <c r="B124" s="31"/>
      <c r="C124" s="32"/>
      <c r="D124" s="61"/>
      <c r="E124" s="33" t="str">
        <f>IF(tbAvaliacaoSLA[[#This Row],[Competência]]="","",DAY(EOMONTH(tbAvaliacaoSLA[[#This Row],[Competência]],0))*24)</f>
        <v/>
      </c>
      <c r="F124" s="32"/>
      <c r="G124" s="34">
        <v>0</v>
      </c>
      <c r="H124" s="20" t="str">
        <f>IF(OR(E124="",D124=""),"",E124*D124)</f>
        <v/>
      </c>
      <c r="L124" s="23" t="str">
        <f>IF(tbAvaliacaoSLA[[#This Row],[Competência]]="","",Parâmetros!$B$4)</f>
        <v/>
      </c>
      <c r="Q124" s="32"/>
    </row>
  </sheetData>
  <mergeCells count="2">
    <mergeCell ref="M1:P1"/>
    <mergeCell ref="A2:P2"/>
  </mergeCells>
  <conditionalFormatting sqref="P5:P124">
    <cfRule type="expression" dxfId="2" priority="2">
      <formula>$P5="ATENDIDO"</formula>
    </cfRule>
    <cfRule type="expression" dxfId="1" priority="3">
      <formula>$P5="NÃO ATENDIDO"</formula>
    </cfRule>
    <cfRule type="expression" dxfId="0" priority="4">
      <formula>$P5="REVISAR DADOS"</formula>
    </cfRule>
  </conditionalFormatting>
  <dataValidations count="3">
    <dataValidation type="decimal" operator="greaterThanOrEqual" allowBlank="1" showErrorMessage="1" errorTitle="Valor inválido" error="Informe um número maior ou igual a zero." sqref="E5:H124" xr:uid="{00000000-0002-0000-0000-000000000000}">
      <formula1>0</formula1>
      <formula2>0</formula2>
    </dataValidation>
    <dataValidation type="date" allowBlank="1" sqref="B5:B124 A5 A69:A124" xr:uid="{00000000-0002-0000-0000-000001000000}">
      <formula1>DATE(2000,1,1)</formula1>
      <formula2>DATE(2100,12,31)</formula2>
    </dataValidation>
    <dataValidation type="date" sqref="A6:A68" xr:uid="{F88DAB34-60E4-4310-8B93-3FBF7296005A}">
      <formula1>DATE(2000,1,1)</formula1>
      <formula2>DATE(2100,12,31)</formula2>
    </dataValidation>
  </dataValidations>
  <pageMargins left="0.75" right="0.75" top="1" bottom="1" header="0.511811023622047" footer="0.511811023622047"/>
  <pageSetup fitToHeight="0" orientation="landscape" horizontalDpi="300" verticalDpi="30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7"/>
  <sheetViews>
    <sheetView showGridLines="0" zoomScale="95" zoomScaleNormal="95" workbookViewId="0">
      <pane ySplit="3" topLeftCell="A4" activePane="bottomLeft" state="frozen"/>
      <selection pane="bottomLeft" activeCell="I11" sqref="I11"/>
    </sheetView>
  </sheetViews>
  <sheetFormatPr defaultColWidth="8.7109375" defaultRowHeight="14.25" x14ac:dyDescent="0.2"/>
  <cols>
    <col min="1" max="1" width="30" style="3" customWidth="1"/>
    <col min="2" max="2" width="22" style="3" customWidth="1"/>
    <col min="3" max="3" width="20" style="3" customWidth="1"/>
    <col min="4" max="4" width="78" style="3" customWidth="1"/>
    <col min="5" max="16384" width="8.7109375" style="3"/>
  </cols>
  <sheetData>
    <row r="1" spans="1:16" ht="19.5" customHeight="1" x14ac:dyDescent="0.2">
      <c r="A1" s="5" t="s">
        <v>0</v>
      </c>
      <c r="B1" s="5"/>
      <c r="C1" s="6"/>
      <c r="D1" s="7"/>
      <c r="E1" s="6"/>
      <c r="F1" s="6"/>
      <c r="G1" s="6"/>
      <c r="H1" s="6"/>
      <c r="I1" s="6"/>
      <c r="J1" s="52" t="str">
        <f>"Período de vigência " &amp; TEXT('Avaliação SLA'!A5-DAY('Avaliação SLA'!A5)+1, "dd/mm/aaaa") &amp; " a " &amp; TEXT(EOMONTH('Avaliação SLA'!A5,0), "dd/mm/aaaa")</f>
        <v>Período de vigência 01/07/2026 a 31/07/2026</v>
      </c>
      <c r="K1" s="52"/>
      <c r="L1" s="52"/>
      <c r="M1" s="52"/>
      <c r="N1" s="52"/>
      <c r="O1" s="52"/>
      <c r="P1" s="52"/>
    </row>
    <row r="3" spans="1:16" ht="24" customHeight="1" x14ac:dyDescent="0.2">
      <c r="A3" s="35" t="s">
        <v>21</v>
      </c>
      <c r="B3" s="35" t="s">
        <v>22</v>
      </c>
      <c r="C3" s="35" t="s">
        <v>23</v>
      </c>
      <c r="D3" s="35" t="s">
        <v>24</v>
      </c>
    </row>
    <row r="4" spans="1:16" ht="15" customHeight="1" x14ac:dyDescent="0.2">
      <c r="A4" s="36" t="s">
        <v>25</v>
      </c>
      <c r="B4" s="37">
        <v>0.99</v>
      </c>
      <c r="C4" s="2" t="s">
        <v>26</v>
      </c>
      <c r="D4" s="2" t="s">
        <v>27</v>
      </c>
    </row>
    <row r="5" spans="1:16" ht="15" customHeight="1" x14ac:dyDescent="0.2">
      <c r="A5" s="2" t="s">
        <v>28</v>
      </c>
      <c r="B5" s="37">
        <v>1E-3</v>
      </c>
      <c r="C5" s="2" t="s">
        <v>29</v>
      </c>
      <c r="D5" s="2" t="s">
        <v>30</v>
      </c>
    </row>
    <row r="6" spans="1:16" ht="15" customHeight="1" x14ac:dyDescent="0.2">
      <c r="A6" s="2" t="s">
        <v>31</v>
      </c>
      <c r="B6" s="38">
        <v>250</v>
      </c>
      <c r="C6" s="2" t="s">
        <v>32</v>
      </c>
      <c r="D6" s="2" t="s">
        <v>33</v>
      </c>
    </row>
    <row r="7" spans="1:16" ht="26.25" customHeight="1" x14ac:dyDescent="0.2">
      <c r="A7" s="2" t="s">
        <v>34</v>
      </c>
      <c r="B7" s="39" t="s">
        <v>35</v>
      </c>
      <c r="C7" s="40"/>
      <c r="D7" s="2" t="s">
        <v>36</v>
      </c>
    </row>
    <row r="8" spans="1:16" ht="14.25" customHeight="1" x14ac:dyDescent="0.2">
      <c r="A8" s="41"/>
      <c r="B8" s="42"/>
    </row>
    <row r="9" spans="1:16" ht="14.25" customHeight="1" x14ac:dyDescent="0.2">
      <c r="A9" s="43"/>
    </row>
    <row r="10" spans="1:16" ht="15" customHeight="1" x14ac:dyDescent="0.2">
      <c r="A10" s="55" t="s">
        <v>37</v>
      </c>
      <c r="B10" s="55"/>
      <c r="C10" s="55"/>
      <c r="D10" s="55"/>
    </row>
    <row r="11" spans="1:16" ht="15" customHeight="1" x14ac:dyDescent="0.2">
      <c r="A11" s="56" t="s">
        <v>38</v>
      </c>
      <c r="B11" s="56"/>
      <c r="C11" s="56"/>
      <c r="D11" s="56"/>
    </row>
    <row r="12" spans="1:16" ht="14.25" customHeight="1" x14ac:dyDescent="0.2">
      <c r="A12" s="41"/>
    </row>
    <row r="13" spans="1:16" ht="15" customHeight="1" x14ac:dyDescent="0.2">
      <c r="A13" s="55" t="s">
        <v>39</v>
      </c>
      <c r="B13" s="55"/>
      <c r="C13" s="55"/>
      <c r="D13" s="55"/>
    </row>
    <row r="14" spans="1:16" ht="15" customHeight="1" x14ac:dyDescent="0.2">
      <c r="A14" s="1" t="s">
        <v>40</v>
      </c>
      <c r="B14" s="54" t="s">
        <v>41</v>
      </c>
      <c r="C14" s="54"/>
      <c r="D14" s="54"/>
    </row>
    <row r="15" spans="1:16" ht="15" customHeight="1" x14ac:dyDescent="0.2">
      <c r="A15" s="1" t="s">
        <v>42</v>
      </c>
      <c r="B15" s="54" t="s">
        <v>43</v>
      </c>
      <c r="C15" s="54"/>
      <c r="D15" s="54"/>
    </row>
    <row r="16" spans="1:16" ht="15" customHeight="1" x14ac:dyDescent="0.2">
      <c r="A16" s="1" t="s">
        <v>44</v>
      </c>
      <c r="B16" s="54" t="s">
        <v>45</v>
      </c>
      <c r="C16" s="54"/>
      <c r="D16" s="54"/>
    </row>
    <row r="17" spans="1:4" ht="15" customHeight="1" x14ac:dyDescent="0.2">
      <c r="A17" s="1" t="s">
        <v>46</v>
      </c>
      <c r="B17" s="54" t="s">
        <v>47</v>
      </c>
      <c r="C17" s="54"/>
      <c r="D17" s="54"/>
    </row>
  </sheetData>
  <mergeCells count="8">
    <mergeCell ref="B15:D15"/>
    <mergeCell ref="B16:D16"/>
    <mergeCell ref="B17:D17"/>
    <mergeCell ref="J1:P1"/>
    <mergeCell ref="A10:D10"/>
    <mergeCell ref="A11:D11"/>
    <mergeCell ref="A13:D13"/>
    <mergeCell ref="B14:D14"/>
  </mergeCells>
  <dataValidations count="1">
    <dataValidation type="list" sqref="B7" xr:uid="{00000000-0002-0000-0100-000000000000}">
      <formula1>"INICIADA,COMPLETA"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showGridLines="0" zoomScaleNormal="100" workbookViewId="0">
      <selection activeCell="B18" sqref="B18"/>
    </sheetView>
  </sheetViews>
  <sheetFormatPr defaultColWidth="8.7109375" defaultRowHeight="14.25" x14ac:dyDescent="0.2"/>
  <cols>
    <col min="1" max="1" width="24" style="3" customWidth="1"/>
    <col min="2" max="2" width="105" style="3" customWidth="1"/>
    <col min="3" max="4" width="25" style="3" customWidth="1"/>
    <col min="5" max="16384" width="8.7109375" style="3"/>
  </cols>
  <sheetData>
    <row r="1" spans="1:4" s="6" customFormat="1" ht="24" customHeight="1" x14ac:dyDescent="0.2">
      <c r="A1" s="58" t="s">
        <v>48</v>
      </c>
      <c r="B1" s="58"/>
      <c r="C1" s="58"/>
      <c r="D1" s="58"/>
    </row>
    <row r="3" spans="1:4" ht="14.25" customHeight="1" x14ac:dyDescent="0.2">
      <c r="A3" s="44" t="s">
        <v>49</v>
      </c>
      <c r="B3" s="59" t="s">
        <v>50</v>
      </c>
      <c r="C3" s="59"/>
      <c r="D3" s="59"/>
    </row>
    <row r="4" spans="1:4" ht="14.25" customHeight="1" x14ac:dyDescent="0.2">
      <c r="A4" s="44" t="s">
        <v>51</v>
      </c>
      <c r="B4" s="57" t="s">
        <v>52</v>
      </c>
      <c r="C4" s="57"/>
      <c r="D4" s="57"/>
    </row>
    <row r="5" spans="1:4" ht="14.25" customHeight="1" x14ac:dyDescent="0.2">
      <c r="A5" s="44" t="s">
        <v>53</v>
      </c>
      <c r="B5" s="57" t="s">
        <v>54</v>
      </c>
      <c r="C5" s="57"/>
      <c r="D5" s="57"/>
    </row>
    <row r="6" spans="1:4" ht="14.25" customHeight="1" x14ac:dyDescent="0.2">
      <c r="A6" s="44" t="s">
        <v>55</v>
      </c>
      <c r="B6" s="57" t="s">
        <v>56</v>
      </c>
      <c r="C6" s="57"/>
      <c r="D6" s="57"/>
    </row>
    <row r="7" spans="1:4" ht="14.25" customHeight="1" x14ac:dyDescent="0.2">
      <c r="A7" s="44" t="s">
        <v>57</v>
      </c>
      <c r="B7" s="57" t="s">
        <v>58</v>
      </c>
      <c r="C7" s="57"/>
      <c r="D7" s="57"/>
    </row>
  </sheetData>
  <mergeCells count="6">
    <mergeCell ref="B7:D7"/>
    <mergeCell ref="A1:D1"/>
    <mergeCell ref="B3:D3"/>
    <mergeCell ref="B4:D4"/>
    <mergeCell ref="B5:D5"/>
    <mergeCell ref="B6:D6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9"/>
  <sheetViews>
    <sheetView showGridLines="0" zoomScale="105" zoomScaleNormal="105" workbookViewId="0">
      <selection activeCell="K1" sqref="K1:P1"/>
    </sheetView>
  </sheetViews>
  <sheetFormatPr defaultColWidth="8.7109375" defaultRowHeight="14.25" x14ac:dyDescent="0.2"/>
  <cols>
    <col min="1" max="1" width="30" style="3" customWidth="1"/>
    <col min="2" max="2" width="18" style="3" customWidth="1"/>
    <col min="3" max="3" width="28" style="3" customWidth="1"/>
    <col min="4" max="4" width="15" style="3" customWidth="1"/>
    <col min="5" max="16384" width="8.7109375" style="3"/>
  </cols>
  <sheetData>
    <row r="1" spans="1:16" ht="24" customHeight="1" x14ac:dyDescent="0.2">
      <c r="A1" s="5" t="s">
        <v>0</v>
      </c>
      <c r="B1" s="5"/>
      <c r="C1" s="6"/>
      <c r="D1" s="7"/>
      <c r="E1" s="6"/>
      <c r="F1" s="6"/>
      <c r="G1" s="6"/>
      <c r="H1" s="6"/>
      <c r="I1" s="6"/>
      <c r="J1" s="6"/>
      <c r="K1" s="52" t="str">
        <f>"Período de vigência " &amp; TEXT('Avaliação SLA'!A5-DAY('Avaliação SLA'!A5)+1, "dd/mm/aaaa") &amp; " a " &amp; TEXT(EOMONTH('Avaliação SLA'!A5,0), "dd/mm/aaaa")</f>
        <v>Período de vigência 01/07/2026 a 31/07/2026</v>
      </c>
      <c r="L1" s="52"/>
      <c r="M1" s="52"/>
      <c r="N1" s="52"/>
      <c r="O1" s="52"/>
      <c r="P1" s="52"/>
    </row>
    <row r="3" spans="1:16" ht="24" customHeight="1" x14ac:dyDescent="0.2">
      <c r="A3" s="35" t="s">
        <v>59</v>
      </c>
      <c r="B3" s="35" t="s">
        <v>22</v>
      </c>
      <c r="D3" s="45" t="s">
        <v>60</v>
      </c>
      <c r="E3" s="45" t="s">
        <v>61</v>
      </c>
    </row>
    <row r="4" spans="1:16" ht="15" customHeight="1" x14ac:dyDescent="0.2">
      <c r="A4" s="2" t="s">
        <v>62</v>
      </c>
      <c r="B4" s="46">
        <f>COUNT('Avaliação SLA'!K5:K124)</f>
        <v>58</v>
      </c>
      <c r="D4" s="1" t="s">
        <v>63</v>
      </c>
      <c r="E4" s="47">
        <f>B5</f>
        <v>53</v>
      </c>
    </row>
    <row r="5" spans="1:16" ht="15" customHeight="1" x14ac:dyDescent="0.2">
      <c r="A5" s="2" t="s">
        <v>64</v>
      </c>
      <c r="B5" s="46">
        <f>COUNTIF('Avaliação SLA'!P5:P124,"ATENDIDO")</f>
        <v>53</v>
      </c>
      <c r="D5" s="1" t="s">
        <v>65</v>
      </c>
      <c r="E5" s="47">
        <f>B6</f>
        <v>5</v>
      </c>
    </row>
    <row r="6" spans="1:16" ht="15" customHeight="1" x14ac:dyDescent="0.2">
      <c r="A6" s="2" t="s">
        <v>66</v>
      </c>
      <c r="B6" s="46">
        <f>COUNTIF('Avaliação SLA'!P5:P124,"NÃO ATENDIDO")</f>
        <v>5</v>
      </c>
      <c r="D6" s="1" t="s">
        <v>67</v>
      </c>
      <c r="E6" s="47">
        <f>B7</f>
        <v>0</v>
      </c>
    </row>
    <row r="7" spans="1:16" ht="15" customHeight="1" x14ac:dyDescent="0.2">
      <c r="A7" s="2" t="s">
        <v>68</v>
      </c>
      <c r="B7" s="46">
        <f>COUNTIF('Avaliação SLA'!P5:P124,"REVISAR DADOS")</f>
        <v>0</v>
      </c>
    </row>
    <row r="8" spans="1:16" ht="15" customHeight="1" x14ac:dyDescent="0.2">
      <c r="A8" s="48" t="s">
        <v>69</v>
      </c>
      <c r="B8" s="49">
        <f>IFERROR(AVERAGE('Avaliação SLA'!K5:K124),"")</f>
        <v>0.99651896551724106</v>
      </c>
      <c r="C8" s="50"/>
      <c r="D8" s="50"/>
      <c r="E8" s="50"/>
      <c r="F8" s="50"/>
    </row>
    <row r="9" spans="1:16" ht="15" customHeight="1" x14ac:dyDescent="0.2">
      <c r="A9" s="48" t="s">
        <v>70</v>
      </c>
      <c r="B9" s="51">
        <f>SUM('Avaliação SLA'!O5:O124)</f>
        <v>37000</v>
      </c>
      <c r="C9" s="50"/>
      <c r="D9" s="50"/>
      <c r="E9" s="50"/>
      <c r="F9" s="50"/>
    </row>
  </sheetData>
  <mergeCells count="1">
    <mergeCell ref="K1:P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Avaliação SLA</vt:lpstr>
      <vt:lpstr>Parâmetros</vt:lpstr>
      <vt:lpstr>Instruções</vt:lpstr>
      <vt:lpstr>Resumo</vt:lpstr>
      <vt:lpstr>'Avaliação SLA'!Titulos_de_impressao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João Antonio Carvalho Monteiro de Oliveira</dc:creator>
  <cp:keywords/>
  <dc:description/>
  <cp:lastModifiedBy>João Antonio Carvalho Monteiro de Oliveira</cp:lastModifiedBy>
  <cp:revision>0</cp:revision>
  <dcterms:created xsi:type="dcterms:W3CDTF">2026-08-24T18:20:07Z</dcterms:created>
  <dcterms:modified xsi:type="dcterms:W3CDTF">2026-08-24T18:47:44Z</dcterms:modified>
  <cp:category/>
  <cp:contentStatus/>
</cp:coreProperties>
</file>