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auditor\docs\aferição\"/>
    </mc:Choice>
  </mc:AlternateContent>
  <xr:revisionPtr revIDLastSave="0" documentId="8_{F732D2A2-ECB5-48C6-BF58-7EA787E76CA2}" xr6:coauthVersionLast="47" xr6:coauthVersionMax="47" xr10:uidLastSave="{00000000-0000-0000-0000-000000000000}"/>
  <bookViews>
    <workbookView xWindow="-28920" yWindow="-120" windowWidth="29040" windowHeight="15720" tabRatio="620" activeTab="5" xr2:uid="{00000000-000D-0000-FFFF-FFFF00000000}"/>
  </bookViews>
  <sheets>
    <sheet name="Instruções" sheetId="3" r:id="rId1"/>
    <sheet name="Detalhamento por Grupo" sheetId="5" r:id="rId2"/>
    <sheet name="Avaliação SLA" sheetId="1" r:id="rId3"/>
    <sheet name="Parâmetros" sheetId="2" r:id="rId4"/>
    <sheet name="Resumo" sheetId="4" r:id="rId5"/>
    <sheet name="Subtotais por Nível" sheetId="6" r:id="rId6"/>
  </sheets>
  <definedNames>
    <definedName name="_xlnm._FilterDatabase" localSheetId="1" hidden="1">'Detalhamento por Grupo'!$A$3:$L$11</definedName>
    <definedName name="_xlnm.Print_Titles" localSheetId="2">'Avaliação SLA'!$1:$4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5" l="1"/>
  <c r="C7" i="6" s="1"/>
  <c r="D11" i="5"/>
  <c r="E10" i="5"/>
  <c r="D10" i="5"/>
  <c r="E9" i="5"/>
  <c r="D9" i="5"/>
  <c r="E8" i="5"/>
  <c r="C6" i="6" s="1"/>
  <c r="D8" i="5"/>
  <c r="E7" i="5"/>
  <c r="D7" i="5"/>
  <c r="E6" i="5"/>
  <c r="D6" i="5"/>
  <c r="E5" i="5"/>
  <c r="D5" i="5"/>
  <c r="E4" i="5"/>
  <c r="C4" i="6" s="1"/>
  <c r="D4" i="5"/>
  <c r="B4" i="4"/>
  <c r="R316" i="1"/>
  <c r="I316" i="1"/>
  <c r="R315" i="1"/>
  <c r="I315" i="1"/>
  <c r="R314" i="1"/>
  <c r="I314" i="1"/>
  <c r="R313" i="1"/>
  <c r="I313" i="1"/>
  <c r="R312" i="1"/>
  <c r="I312" i="1"/>
  <c r="R311" i="1"/>
  <c r="I311" i="1"/>
  <c r="R310" i="1"/>
  <c r="I310" i="1"/>
  <c r="R309" i="1"/>
  <c r="I309" i="1"/>
  <c r="R308" i="1"/>
  <c r="I308" i="1"/>
  <c r="R307" i="1"/>
  <c r="I307" i="1"/>
  <c r="R306" i="1"/>
  <c r="I306" i="1"/>
  <c r="R305" i="1"/>
  <c r="I305" i="1"/>
  <c r="R304" i="1"/>
  <c r="I304" i="1"/>
  <c r="R303" i="1"/>
  <c r="I303" i="1"/>
  <c r="R302" i="1"/>
  <c r="I302" i="1"/>
  <c r="R301" i="1"/>
  <c r="I301" i="1"/>
  <c r="R300" i="1"/>
  <c r="I300" i="1"/>
  <c r="R299" i="1"/>
  <c r="I299" i="1"/>
  <c r="R298" i="1"/>
  <c r="I298" i="1"/>
  <c r="R297" i="1"/>
  <c r="I297" i="1"/>
  <c r="R296" i="1"/>
  <c r="I296" i="1"/>
  <c r="R295" i="1"/>
  <c r="I295" i="1"/>
  <c r="R294" i="1"/>
  <c r="I294" i="1"/>
  <c r="R293" i="1"/>
  <c r="I293" i="1"/>
  <c r="R292" i="1"/>
  <c r="I292" i="1"/>
  <c r="R291" i="1"/>
  <c r="I291" i="1"/>
  <c r="R290" i="1"/>
  <c r="I290" i="1"/>
  <c r="R289" i="1"/>
  <c r="I289" i="1"/>
  <c r="R288" i="1"/>
  <c r="I288" i="1"/>
  <c r="R287" i="1"/>
  <c r="I287" i="1"/>
  <c r="R286" i="1"/>
  <c r="I286" i="1"/>
  <c r="R285" i="1"/>
  <c r="I285" i="1"/>
  <c r="R284" i="1"/>
  <c r="I284" i="1"/>
  <c r="R283" i="1"/>
  <c r="I283" i="1"/>
  <c r="R282" i="1"/>
  <c r="I282" i="1"/>
  <c r="R281" i="1"/>
  <c r="I281" i="1"/>
  <c r="R280" i="1"/>
  <c r="I280" i="1"/>
  <c r="R279" i="1"/>
  <c r="I279" i="1"/>
  <c r="R278" i="1"/>
  <c r="I278" i="1"/>
  <c r="R277" i="1"/>
  <c r="I277" i="1"/>
  <c r="R276" i="1"/>
  <c r="I276" i="1"/>
  <c r="R275" i="1"/>
  <c r="I275" i="1"/>
  <c r="R274" i="1"/>
  <c r="I274" i="1"/>
  <c r="R273" i="1"/>
  <c r="I273" i="1"/>
  <c r="R272" i="1"/>
  <c r="I272" i="1"/>
  <c r="R271" i="1"/>
  <c r="I271" i="1"/>
  <c r="R270" i="1"/>
  <c r="I270" i="1"/>
  <c r="R269" i="1"/>
  <c r="I269" i="1"/>
  <c r="R268" i="1"/>
  <c r="I268" i="1"/>
  <c r="R267" i="1"/>
  <c r="I267" i="1"/>
  <c r="R266" i="1"/>
  <c r="I266" i="1"/>
  <c r="R265" i="1"/>
  <c r="I265" i="1"/>
  <c r="R264" i="1"/>
  <c r="I264" i="1"/>
  <c r="R263" i="1"/>
  <c r="I263" i="1"/>
  <c r="R262" i="1"/>
  <c r="I262" i="1"/>
  <c r="R261" i="1"/>
  <c r="I261" i="1"/>
  <c r="R260" i="1"/>
  <c r="I260" i="1"/>
  <c r="R259" i="1"/>
  <c r="I259" i="1"/>
  <c r="R258" i="1"/>
  <c r="I258" i="1"/>
  <c r="R257" i="1"/>
  <c r="I257" i="1"/>
  <c r="R256" i="1"/>
  <c r="I256" i="1"/>
  <c r="R255" i="1"/>
  <c r="I255" i="1"/>
  <c r="R254" i="1"/>
  <c r="I254" i="1"/>
  <c r="R253" i="1"/>
  <c r="I253" i="1"/>
  <c r="R252" i="1"/>
  <c r="I252" i="1"/>
  <c r="R251" i="1"/>
  <c r="I251" i="1"/>
  <c r="R250" i="1"/>
  <c r="I250" i="1"/>
  <c r="R249" i="1"/>
  <c r="I249" i="1"/>
  <c r="R248" i="1"/>
  <c r="I248" i="1"/>
  <c r="R247" i="1"/>
  <c r="I247" i="1"/>
  <c r="R246" i="1"/>
  <c r="I246" i="1"/>
  <c r="R245" i="1"/>
  <c r="I245" i="1"/>
  <c r="R244" i="1"/>
  <c r="I244" i="1"/>
  <c r="R243" i="1"/>
  <c r="I243" i="1"/>
  <c r="R242" i="1"/>
  <c r="I242" i="1"/>
  <c r="R241" i="1"/>
  <c r="I241" i="1"/>
  <c r="R240" i="1"/>
  <c r="I240" i="1"/>
  <c r="R239" i="1"/>
  <c r="I239" i="1"/>
  <c r="R238" i="1"/>
  <c r="I238" i="1"/>
  <c r="R237" i="1"/>
  <c r="I237" i="1"/>
  <c r="R236" i="1"/>
  <c r="I236" i="1"/>
  <c r="R235" i="1"/>
  <c r="I235" i="1"/>
  <c r="R234" i="1"/>
  <c r="I234" i="1"/>
  <c r="R233" i="1"/>
  <c r="I233" i="1"/>
  <c r="R232" i="1"/>
  <c r="I232" i="1"/>
  <c r="R231" i="1"/>
  <c r="I231" i="1"/>
  <c r="R230" i="1"/>
  <c r="I230" i="1"/>
  <c r="R229" i="1"/>
  <c r="I229" i="1"/>
  <c r="R228" i="1"/>
  <c r="I228" i="1"/>
  <c r="R227" i="1"/>
  <c r="I227" i="1"/>
  <c r="R226" i="1"/>
  <c r="I226" i="1"/>
  <c r="R225" i="1"/>
  <c r="I225" i="1"/>
  <c r="R224" i="1"/>
  <c r="I224" i="1"/>
  <c r="R223" i="1"/>
  <c r="I223" i="1"/>
  <c r="R222" i="1"/>
  <c r="I222" i="1"/>
  <c r="R221" i="1"/>
  <c r="I221" i="1"/>
  <c r="R220" i="1"/>
  <c r="I220" i="1"/>
  <c r="R219" i="1"/>
  <c r="I219" i="1"/>
  <c r="R218" i="1"/>
  <c r="I218" i="1"/>
  <c r="R217" i="1"/>
  <c r="I217" i="1"/>
  <c r="R216" i="1"/>
  <c r="I216" i="1"/>
  <c r="R215" i="1"/>
  <c r="I215" i="1"/>
  <c r="R214" i="1"/>
  <c r="I214" i="1"/>
  <c r="R213" i="1"/>
  <c r="I213" i="1"/>
  <c r="R212" i="1"/>
  <c r="I212" i="1"/>
  <c r="R211" i="1"/>
  <c r="I211" i="1"/>
  <c r="R210" i="1"/>
  <c r="I210" i="1"/>
  <c r="R209" i="1"/>
  <c r="I209" i="1"/>
  <c r="R208" i="1"/>
  <c r="I208" i="1"/>
  <c r="R207" i="1"/>
  <c r="I207" i="1"/>
  <c r="R206" i="1"/>
  <c r="I206" i="1"/>
  <c r="R205" i="1"/>
  <c r="I205" i="1"/>
  <c r="R204" i="1"/>
  <c r="I204" i="1"/>
  <c r="R203" i="1"/>
  <c r="I203" i="1"/>
  <c r="R202" i="1"/>
  <c r="I202" i="1"/>
  <c r="R201" i="1"/>
  <c r="I201" i="1"/>
  <c r="R200" i="1"/>
  <c r="I200" i="1"/>
  <c r="R199" i="1"/>
  <c r="I199" i="1"/>
  <c r="R198" i="1"/>
  <c r="I198" i="1"/>
  <c r="R197" i="1"/>
  <c r="I197" i="1"/>
  <c r="R196" i="1"/>
  <c r="I196" i="1"/>
  <c r="R195" i="1"/>
  <c r="I195" i="1"/>
  <c r="R194" i="1"/>
  <c r="I194" i="1"/>
  <c r="R193" i="1"/>
  <c r="I193" i="1"/>
  <c r="R192" i="1"/>
  <c r="I192" i="1"/>
  <c r="R191" i="1"/>
  <c r="I191" i="1"/>
  <c r="R190" i="1"/>
  <c r="I190" i="1"/>
  <c r="R189" i="1"/>
  <c r="I189" i="1"/>
  <c r="R188" i="1"/>
  <c r="I188" i="1"/>
  <c r="R187" i="1"/>
  <c r="I187" i="1"/>
  <c r="R186" i="1"/>
  <c r="I186" i="1"/>
  <c r="R185" i="1"/>
  <c r="I185" i="1"/>
  <c r="R184" i="1"/>
  <c r="I184" i="1"/>
  <c r="R183" i="1"/>
  <c r="I183" i="1"/>
  <c r="R182" i="1"/>
  <c r="I182" i="1"/>
  <c r="R181" i="1"/>
  <c r="I181" i="1"/>
  <c r="R180" i="1"/>
  <c r="I180" i="1"/>
  <c r="R179" i="1"/>
  <c r="I179" i="1"/>
  <c r="R178" i="1"/>
  <c r="I178" i="1"/>
  <c r="R177" i="1"/>
  <c r="I177" i="1"/>
  <c r="R176" i="1"/>
  <c r="I176" i="1"/>
  <c r="R175" i="1"/>
  <c r="I175" i="1"/>
  <c r="R174" i="1"/>
  <c r="I174" i="1"/>
  <c r="R173" i="1"/>
  <c r="I173" i="1"/>
  <c r="R172" i="1"/>
  <c r="I172" i="1"/>
  <c r="R171" i="1"/>
  <c r="I171" i="1"/>
  <c r="R170" i="1"/>
  <c r="I170" i="1"/>
  <c r="R169" i="1"/>
  <c r="I169" i="1"/>
  <c r="R168" i="1"/>
  <c r="I168" i="1"/>
  <c r="R167" i="1"/>
  <c r="I167" i="1"/>
  <c r="R166" i="1"/>
  <c r="I166" i="1"/>
  <c r="R165" i="1"/>
  <c r="I165" i="1"/>
  <c r="R164" i="1"/>
  <c r="I164" i="1"/>
  <c r="R163" i="1"/>
  <c r="I163" i="1"/>
  <c r="R162" i="1"/>
  <c r="I162" i="1"/>
  <c r="R161" i="1"/>
  <c r="I161" i="1"/>
  <c r="R160" i="1"/>
  <c r="I160" i="1"/>
  <c r="R159" i="1"/>
  <c r="I159" i="1"/>
  <c r="R158" i="1"/>
  <c r="I158" i="1"/>
  <c r="R157" i="1"/>
  <c r="I157" i="1"/>
  <c r="R156" i="1"/>
  <c r="I156" i="1"/>
  <c r="R155" i="1"/>
  <c r="I155" i="1"/>
  <c r="R154" i="1"/>
  <c r="I154" i="1"/>
  <c r="R153" i="1"/>
  <c r="I153" i="1"/>
  <c r="R152" i="1"/>
  <c r="I152" i="1"/>
  <c r="R151" i="1"/>
  <c r="I151" i="1"/>
  <c r="R150" i="1"/>
  <c r="I150" i="1"/>
  <c r="R149" i="1"/>
  <c r="I149" i="1"/>
  <c r="R148" i="1"/>
  <c r="I148" i="1"/>
  <c r="R147" i="1"/>
  <c r="I147" i="1"/>
  <c r="R146" i="1"/>
  <c r="I146" i="1"/>
  <c r="R145" i="1"/>
  <c r="I145" i="1"/>
  <c r="R144" i="1"/>
  <c r="I144" i="1"/>
  <c r="R143" i="1"/>
  <c r="I143" i="1"/>
  <c r="R142" i="1"/>
  <c r="I142" i="1"/>
  <c r="R141" i="1"/>
  <c r="I141" i="1"/>
  <c r="R140" i="1"/>
  <c r="I140" i="1"/>
  <c r="R139" i="1"/>
  <c r="I139" i="1"/>
  <c r="R138" i="1"/>
  <c r="I138" i="1"/>
  <c r="R137" i="1"/>
  <c r="I137" i="1"/>
  <c r="R136" i="1"/>
  <c r="I136" i="1"/>
  <c r="R135" i="1"/>
  <c r="I135" i="1"/>
  <c r="R134" i="1"/>
  <c r="I134" i="1"/>
  <c r="R133" i="1"/>
  <c r="I133" i="1"/>
  <c r="R132" i="1"/>
  <c r="I132" i="1"/>
  <c r="R131" i="1"/>
  <c r="I131" i="1"/>
  <c r="R130" i="1"/>
  <c r="I130" i="1"/>
  <c r="R129" i="1"/>
  <c r="I129" i="1"/>
  <c r="R128" i="1"/>
  <c r="I128" i="1"/>
  <c r="R127" i="1"/>
  <c r="I127" i="1"/>
  <c r="R126" i="1"/>
  <c r="I126" i="1"/>
  <c r="R125" i="1"/>
  <c r="I125" i="1"/>
  <c r="R124" i="1"/>
  <c r="I124" i="1"/>
  <c r="R123" i="1"/>
  <c r="I123" i="1"/>
  <c r="R122" i="1"/>
  <c r="I122" i="1"/>
  <c r="R121" i="1"/>
  <c r="I121" i="1"/>
  <c r="R120" i="1"/>
  <c r="I120" i="1"/>
  <c r="R119" i="1"/>
  <c r="I119" i="1"/>
  <c r="R118" i="1"/>
  <c r="I118" i="1"/>
  <c r="R117" i="1"/>
  <c r="I117" i="1"/>
  <c r="R116" i="1"/>
  <c r="I116" i="1"/>
  <c r="R115" i="1"/>
  <c r="I115" i="1"/>
  <c r="R114" i="1"/>
  <c r="I114" i="1"/>
  <c r="R113" i="1"/>
  <c r="I113" i="1"/>
  <c r="R112" i="1"/>
  <c r="I112" i="1"/>
  <c r="R111" i="1"/>
  <c r="I111" i="1"/>
  <c r="R110" i="1"/>
  <c r="I110" i="1"/>
  <c r="R109" i="1"/>
  <c r="I109" i="1"/>
  <c r="R108" i="1"/>
  <c r="I108" i="1"/>
  <c r="R107" i="1"/>
  <c r="I107" i="1"/>
  <c r="R106" i="1"/>
  <c r="I106" i="1"/>
  <c r="R105" i="1"/>
  <c r="I105" i="1"/>
  <c r="R104" i="1"/>
  <c r="I104" i="1"/>
  <c r="R103" i="1"/>
  <c r="I103" i="1"/>
  <c r="R102" i="1"/>
  <c r="I102" i="1"/>
  <c r="R101" i="1"/>
  <c r="I101" i="1"/>
  <c r="R100" i="1"/>
  <c r="I100" i="1"/>
  <c r="R99" i="1"/>
  <c r="I99" i="1"/>
  <c r="R98" i="1"/>
  <c r="I98" i="1"/>
  <c r="R97" i="1"/>
  <c r="I97" i="1"/>
  <c r="R96" i="1"/>
  <c r="I96" i="1"/>
  <c r="R95" i="1"/>
  <c r="I95" i="1"/>
  <c r="R94" i="1"/>
  <c r="I94" i="1"/>
  <c r="R93" i="1"/>
  <c r="I93" i="1"/>
  <c r="R92" i="1"/>
  <c r="I92" i="1"/>
  <c r="R91" i="1"/>
  <c r="I91" i="1"/>
  <c r="R90" i="1"/>
  <c r="I90" i="1"/>
  <c r="R89" i="1"/>
  <c r="I89" i="1"/>
  <c r="R88" i="1"/>
  <c r="I88" i="1"/>
  <c r="R87" i="1"/>
  <c r="I87" i="1"/>
  <c r="R86" i="1"/>
  <c r="I86" i="1"/>
  <c r="R85" i="1"/>
  <c r="I85" i="1"/>
  <c r="R84" i="1"/>
  <c r="I84" i="1"/>
  <c r="R83" i="1"/>
  <c r="I83" i="1"/>
  <c r="R82" i="1"/>
  <c r="I82" i="1"/>
  <c r="R81" i="1"/>
  <c r="I81" i="1"/>
  <c r="R80" i="1"/>
  <c r="I80" i="1"/>
  <c r="R79" i="1"/>
  <c r="I79" i="1"/>
  <c r="R78" i="1"/>
  <c r="I78" i="1"/>
  <c r="R77" i="1"/>
  <c r="I77" i="1"/>
  <c r="R76" i="1"/>
  <c r="I76" i="1"/>
  <c r="R75" i="1"/>
  <c r="I75" i="1"/>
  <c r="R74" i="1"/>
  <c r="I74" i="1"/>
  <c r="R73" i="1"/>
  <c r="I73" i="1"/>
  <c r="R72" i="1"/>
  <c r="I72" i="1"/>
  <c r="R71" i="1"/>
  <c r="I71" i="1"/>
  <c r="R70" i="1"/>
  <c r="I70" i="1"/>
  <c r="R69" i="1"/>
  <c r="I69" i="1"/>
  <c r="R68" i="1"/>
  <c r="I68" i="1"/>
  <c r="R67" i="1"/>
  <c r="I67" i="1"/>
  <c r="R66" i="1"/>
  <c r="I66" i="1"/>
  <c r="R65" i="1"/>
  <c r="I65" i="1"/>
  <c r="R64" i="1"/>
  <c r="I64" i="1"/>
  <c r="R63" i="1"/>
  <c r="I63" i="1"/>
  <c r="R62" i="1"/>
  <c r="I62" i="1"/>
  <c r="R61" i="1"/>
  <c r="I61" i="1"/>
  <c r="R60" i="1"/>
  <c r="I60" i="1"/>
  <c r="R59" i="1"/>
  <c r="I59" i="1"/>
  <c r="R58" i="1"/>
  <c r="I58" i="1"/>
  <c r="R57" i="1"/>
  <c r="I57" i="1"/>
  <c r="R56" i="1"/>
  <c r="I56" i="1"/>
  <c r="R55" i="1"/>
  <c r="I55" i="1"/>
  <c r="R54" i="1"/>
  <c r="I54" i="1"/>
  <c r="R53" i="1"/>
  <c r="I53" i="1"/>
  <c r="R52" i="1"/>
  <c r="I52" i="1"/>
  <c r="R51" i="1"/>
  <c r="I51" i="1"/>
  <c r="R50" i="1"/>
  <c r="I50" i="1"/>
  <c r="R49" i="1"/>
  <c r="I49" i="1"/>
  <c r="R48" i="1"/>
  <c r="I48" i="1"/>
  <c r="R47" i="1"/>
  <c r="I47" i="1"/>
  <c r="R46" i="1"/>
  <c r="I46" i="1"/>
  <c r="R45" i="1"/>
  <c r="I45" i="1"/>
  <c r="R44" i="1"/>
  <c r="I44" i="1"/>
  <c r="R43" i="1"/>
  <c r="I43" i="1"/>
  <c r="R42" i="1"/>
  <c r="I42" i="1"/>
  <c r="R41" i="1"/>
  <c r="I41" i="1"/>
  <c r="R40" i="1"/>
  <c r="I40" i="1"/>
  <c r="R39" i="1"/>
  <c r="I39" i="1"/>
  <c r="R38" i="1"/>
  <c r="I38" i="1"/>
  <c r="R37" i="1"/>
  <c r="I37" i="1"/>
  <c r="R36" i="1"/>
  <c r="I36" i="1"/>
  <c r="R35" i="1"/>
  <c r="I35" i="1"/>
  <c r="R34" i="1"/>
  <c r="I34" i="1"/>
  <c r="R33" i="1"/>
  <c r="I33" i="1"/>
  <c r="R32" i="1"/>
  <c r="I32" i="1"/>
  <c r="R31" i="1"/>
  <c r="I31" i="1"/>
  <c r="R30" i="1"/>
  <c r="I30" i="1"/>
  <c r="R29" i="1"/>
  <c r="I29" i="1"/>
  <c r="R28" i="1"/>
  <c r="I28" i="1"/>
  <c r="R27" i="1"/>
  <c r="I27" i="1"/>
  <c r="R26" i="1"/>
  <c r="I26" i="1"/>
  <c r="R25" i="1"/>
  <c r="I25" i="1"/>
  <c r="R24" i="1"/>
  <c r="I24" i="1"/>
  <c r="R23" i="1"/>
  <c r="I23" i="1"/>
  <c r="R22" i="1"/>
  <c r="I22" i="1"/>
  <c r="R21" i="1"/>
  <c r="I21" i="1"/>
  <c r="R20" i="1"/>
  <c r="I20" i="1"/>
  <c r="R19" i="1"/>
  <c r="I19" i="1"/>
  <c r="R18" i="1"/>
  <c r="I18" i="1"/>
  <c r="R17" i="1"/>
  <c r="I17" i="1"/>
  <c r="R16" i="1"/>
  <c r="I16" i="1"/>
  <c r="R15" i="1"/>
  <c r="I15" i="1"/>
  <c r="R14" i="1"/>
  <c r="I14" i="1"/>
  <c r="R13" i="1"/>
  <c r="I13" i="1"/>
  <c r="R12" i="1"/>
  <c r="I12" i="1"/>
  <c r="R11" i="1"/>
  <c r="I11" i="1"/>
  <c r="R10" i="1"/>
  <c r="I10" i="1"/>
  <c r="R9" i="1"/>
  <c r="I9" i="1"/>
  <c r="R8" i="1"/>
  <c r="I8" i="1"/>
  <c r="R7" i="1"/>
  <c r="I7" i="1"/>
  <c r="R6" i="1"/>
  <c r="I6" i="1"/>
  <c r="R5" i="1"/>
  <c r="I5" i="1"/>
  <c r="L3" i="1"/>
  <c r="B7" i="4" s="1"/>
  <c r="J3" i="1"/>
  <c r="C3" i="1"/>
  <c r="I3" i="1" l="1"/>
  <c r="K3" i="1" s="1"/>
  <c r="B6" i="4" s="1"/>
  <c r="E4" i="4"/>
  <c r="B5" i="4" s="1"/>
  <c r="C5" i="6"/>
  <c r="C8" i="6" s="1"/>
  <c r="B4" i="6"/>
  <c r="H4" i="5"/>
  <c r="G4" i="5"/>
  <c r="F4" i="5"/>
  <c r="B5" i="6"/>
  <c r="H5" i="5"/>
  <c r="G5" i="5"/>
  <c r="F5" i="5"/>
  <c r="H6" i="5"/>
  <c r="G6" i="5"/>
  <c r="F6" i="5"/>
  <c r="H7" i="5"/>
  <c r="G7" i="5"/>
  <c r="F7" i="5"/>
  <c r="B6" i="6"/>
  <c r="H8" i="5"/>
  <c r="G8" i="5"/>
  <c r="F8" i="5"/>
  <c r="H9" i="5"/>
  <c r="G9" i="5"/>
  <c r="F9" i="5"/>
  <c r="H10" i="5"/>
  <c r="G10" i="5"/>
  <c r="F10" i="5"/>
  <c r="B7" i="6"/>
  <c r="H11" i="5"/>
  <c r="G11" i="5"/>
  <c r="F11" i="5"/>
  <c r="M3" i="1" l="1"/>
  <c r="N3" i="1" s="1"/>
  <c r="P3" i="1"/>
  <c r="O3" i="1"/>
  <c r="R3" i="1"/>
  <c r="E5" i="4" s="1"/>
  <c r="F7" i="6"/>
  <c r="E7" i="6"/>
  <c r="D7" i="6"/>
  <c r="F6" i="6"/>
  <c r="E6" i="6"/>
  <c r="D6" i="6"/>
  <c r="F5" i="6"/>
  <c r="E5" i="6"/>
  <c r="D5" i="6"/>
  <c r="B8" i="6"/>
  <c r="E8" i="6" s="1"/>
  <c r="F4" i="6"/>
  <c r="E4" i="6"/>
  <c r="D4" i="6"/>
  <c r="Q3" i="1" l="1"/>
  <c r="E6" i="4" s="1"/>
  <c r="D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  <author>João Antonio Carvalho Monteiro de Oliveira</author>
    <author>M365 Copilot</author>
  </authors>
  <commentList>
    <comment ref="A3" authorId="0" shapeId="0" xr:uid="{00000000-0006-0000-0000-000001000000}">
      <text>
        <r>
          <rPr>
            <sz val="10"/>
            <rFont val="Arial"/>
            <family val="2"/>
          </rPr>
          <t>Consolidado dinâmico. Totais e médias usam SUBTOTAL para respeitar os filtros aplicados à tabela. A disponibilidade agregada é calculada por Numerador total / Denominador total.</t>
        </r>
      </text>
    </comment>
    <comment ref="E4" authorId="1" shapeId="0" xr:uid="{00000000-0006-0000-0000-000002000000}">
      <text>
        <r>
          <rPr>
            <sz val="10"/>
            <rFont val="Arial"/>
            <family val="2"/>
          </rPr>
          <t xml:space="preserve">Horas Totais no Período
</t>
        </r>
      </text>
    </comment>
    <comment ref="F4" authorId="1" shapeId="0" xr:uid="{00000000-0006-0000-0000-000003000000}">
      <text>
        <r>
          <rPr>
            <sz val="10"/>
            <rFont val="Arial"/>
            <family val="2"/>
          </rPr>
          <t xml:space="preserve">Horas de Manutenção Preventiva
</t>
        </r>
      </text>
    </comment>
    <comment ref="H4" authorId="1" shapeId="0" xr:uid="{00000000-0006-0000-0000-000004000000}">
      <text>
        <r>
          <rPr>
            <sz val="10"/>
            <rFont val="Arial"/>
            <family val="2"/>
          </rPr>
          <t xml:space="preserve">Horas Totais de Funcionamento no Período
</t>
        </r>
      </text>
    </comment>
    <comment ref="I4" authorId="1" shapeId="0" xr:uid="{00000000-0006-0000-0000-000005000000}">
      <text>
        <r>
          <rPr>
            <sz val="10"/>
            <rFont val="Arial"/>
            <family val="2"/>
          </rPr>
          <t xml:space="preserve">Quantidade total de incidentes atendidos dentro do prazo
</t>
        </r>
      </text>
    </comment>
    <comment ref="J4" authorId="1" shapeId="0" xr:uid="{00000000-0006-0000-0000-000006000000}">
      <text>
        <r>
          <rPr>
            <sz val="10"/>
            <rFont val="Arial"/>
            <family val="2"/>
          </rPr>
          <t xml:space="preserve">Quantidade total de incidentes abertos no período
</t>
        </r>
      </text>
    </comment>
    <comment ref="K4" authorId="2" shapeId="0" xr:uid="{00000000-0006-0000-0000-000007000000}">
      <text>
        <r>
          <rPr>
            <sz val="10"/>
            <rFont val="Arial"/>
            <family val="2"/>
          </rPr>
          <t>Cálculo: (HFT - HMP - HIJ) / (HT - HMP - HIJ). O formato percentual já representa a multiplicação por 100.</t>
        </r>
      </text>
    </comment>
    <comment ref="N4" authorId="2" shapeId="0" xr:uid="{00000000-0006-0000-0000-000008000000}">
      <text>
        <r>
          <rPr>
            <sz val="10"/>
            <rFont val="Arial"/>
            <family val="2"/>
          </rPr>
          <t>Quantidade de faixas conforme o critério selecionado na aba Parâmetros.</t>
        </r>
      </text>
    </comment>
  </commentList>
</comments>
</file>

<file path=xl/sharedStrings.xml><?xml version="1.0" encoding="utf-8"?>
<sst xmlns="http://schemas.openxmlformats.org/spreadsheetml/2006/main" count="1414" uniqueCount="122">
  <si>
    <t>Avaliação mensal de incidentes atendidos no prazo — INMS 1.1</t>
  </si>
  <si>
    <t>Registros considerados: incidentes abertos de 01/07/2026 a 31/07/2026.</t>
  </si>
  <si>
    <t>AGREGADO</t>
  </si>
  <si>
    <t>Competência</t>
  </si>
  <si>
    <t>Nº Solicitação</t>
  </si>
  <si>
    <t>Atividade</t>
  </si>
  <si>
    <t>SLA</t>
  </si>
  <si>
    <t>Data/hora abertura</t>
  </si>
  <si>
    <t>Data/hora limite</t>
  </si>
  <si>
    <t>Data/hora fim</t>
  </si>
  <si>
    <t>No prazo</t>
  </si>
  <si>
    <t>IADP</t>
  </si>
  <si>
    <t>IAP</t>
  </si>
  <si>
    <t>INMS 1.1</t>
  </si>
  <si>
    <t>Meta</t>
  </si>
  <si>
    <t>Déficit (p.p.)</t>
  </si>
  <si>
    <t>Faixas de 0,1%</t>
  </si>
  <si>
    <t>Pontos base</t>
  </si>
  <si>
    <t>Pontos variáveis</t>
  </si>
  <si>
    <t>Pontos totais</t>
  </si>
  <si>
    <t>Resultado</t>
  </si>
  <si>
    <t>Observações</t>
  </si>
  <si>
    <t>Grupo executor</t>
  </si>
  <si>
    <t>Tempo de atendimento</t>
  </si>
  <si>
    <t>Indisponibilidade SEI</t>
  </si>
  <si>
    <t>(CIT) Incidente - Alta 02 horas</t>
  </si>
  <si>
    <t>S</t>
  </si>
  <si>
    <t>(CIT) Aplicações Web</t>
  </si>
  <si>
    <t>10 - Verificar erro/falha na WI-FI</t>
  </si>
  <si>
    <t>(CIT/MINC) - 2º Nível</t>
  </si>
  <si>
    <t>10 - Verificar erro/ falha em Computador/Notebook</t>
  </si>
  <si>
    <t>01 - Problemas e indisponibilidade</t>
  </si>
  <si>
    <t>06 - Verificar erro/ falha em software/aplicativo</t>
  </si>
  <si>
    <t>Erro no uso do SEI</t>
  </si>
  <si>
    <t>Executores CODIN/SEI</t>
  </si>
  <si>
    <t>11 - Verificar erro/falha no ponto de rede</t>
  </si>
  <si>
    <t>N</t>
  </si>
  <si>
    <t>05 - (AIOPS) Alerta (P1 Crítico e P2 Alto)</t>
  </si>
  <si>
    <t>02 - Indisponibilidade de Aplicação Web</t>
  </si>
  <si>
    <t>01 - Problemas ou indisponibilidade de banco de dados</t>
  </si>
  <si>
    <t>(CIT) Banco de Dados</t>
  </si>
  <si>
    <t>06 - Verificar erro/ falha em Impressora ou scanner</t>
  </si>
  <si>
    <t>09 - Verificar erro/ falha</t>
  </si>
  <si>
    <t>01 - Indisponibilidade (Falha ou Lentidão de Acesso)</t>
  </si>
  <si>
    <t>09 - Verificar erro/falha na internet</t>
  </si>
  <si>
    <t>(CIT/MINC) - 2º Nível/RJ</t>
  </si>
  <si>
    <t>17 - Verificar lentidão/Indisponibilidade no e-mail</t>
  </si>
  <si>
    <t>Parâmetro</t>
  </si>
  <si>
    <t>Valor</t>
  </si>
  <si>
    <t>Unidade</t>
  </si>
  <si>
    <t>Observação</t>
  </si>
  <si>
    <t>Meta do indicador</t>
  </si>
  <si>
    <t>%</t>
  </si>
  <si>
    <t>Meta mensal: pelo menos 98,00%.</t>
  </si>
  <si>
    <t>Faixa de penalização</t>
  </si>
  <si>
    <t>ponto percentual</t>
  </si>
  <si>
    <t>Corresponde a 0,1 ponto percentual abaixo da meta.</t>
  </si>
  <si>
    <t>pontos</t>
  </si>
  <si>
    <t>Aplicados mensalmente quando o índice ficar abaixo de 98%.</t>
  </si>
  <si>
    <t>Pontos por faixa</t>
  </si>
  <si>
    <t>Adicionados para cada faixa de 0,1% abaixo da meta.</t>
  </si>
  <si>
    <t>Critério para fração de faixa</t>
  </si>
  <si>
    <t>INICIADA: qualquer fração conta. COMPLETA: somente faixas completas.</t>
  </si>
  <si>
    <t>Fórmula contratual</t>
  </si>
  <si>
    <t>INMS 1.1 = (Σ IADP / Σ IAP) × 100</t>
  </si>
  <si>
    <t>Siglas</t>
  </si>
  <si>
    <t>Quantidade total de incidentes atendidos dentro do prazo</t>
  </si>
  <si>
    <t>Quantidade total de incidentes abertos no período</t>
  </si>
  <si>
    <t>Como utilizar a planilha INMS 1.1</t>
  </si>
  <si>
    <t>1. Base de dados</t>
  </si>
  <si>
    <t>A aba Avaliação SLA contém os incidentes abertos em julho de 2026, com uma linha por solicitação.</t>
  </si>
  <si>
    <t>2. Contagem</t>
  </si>
  <si>
    <t>IAP vale 1 para cada incidente aberto no período. IADP vale 1 quando o campo “No prazo” é S.</t>
  </si>
  <si>
    <t>3. Resultado</t>
  </si>
  <si>
    <t>O indicador mensal é calculado por Σ IADP / Σ IAP e comparado à meta de 98,00%.</t>
  </si>
  <si>
    <t>4. Penalização</t>
  </si>
  <si>
    <t>Abaixo da meta, aplicam-se 165 pontos mensais, mais 20 pontos por faixa de 0,1% abaixo da meta.</t>
  </si>
  <si>
    <t>5. Frações</t>
  </si>
  <si>
    <t>O critério de fração está parametrizado como INICIADA e pode ser alterado para COMPLETA na aba Parâmetros.</t>
  </si>
  <si>
    <t>6. Escopo</t>
  </si>
  <si>
    <t>Foram excluídos registros cuja abertura ocorreu fora de 01/07/2026 a 31/07/2026, ainda que tenham sido concluídos no mês.</t>
  </si>
  <si>
    <t>Resumo mensal — INMS 1.1</t>
  </si>
  <si>
    <t>Indicador</t>
  </si>
  <si>
    <t>Situação</t>
  </si>
  <si>
    <t>Quantidade</t>
  </si>
  <si>
    <t>Incidentes abertos</t>
  </si>
  <si>
    <t>Dentro do prazo</t>
  </si>
  <si>
    <t>Fora do prazo</t>
  </si>
  <si>
    <t>SEÇÃO 4 · DETALHAMENTO POR GRUPO EXECUTOR</t>
  </si>
  <si>
    <t>Categoria</t>
  </si>
  <si>
    <t>Nível</t>
  </si>
  <si>
    <t>Linhas</t>
  </si>
  <si>
    <t>% (dentro/linhas)</t>
  </si>
  <si>
    <t>Tempo médio</t>
  </si>
  <si>
    <t>Incluído no INMS?</t>
  </si>
  <si>
    <t>Justificativa de exclusão</t>
  </si>
  <si>
    <t>Documento autorizador</t>
  </si>
  <si>
    <t>Observação de auditoria</t>
  </si>
  <si>
    <t>Chave do grupo</t>
  </si>
  <si>
    <t>Atendimento Remoto aos Usuários</t>
  </si>
  <si>
    <t>N1</t>
  </si>
  <si>
    <t>(CIT/MINC) - 1º Nível</t>
  </si>
  <si>
    <t>Sim</t>
  </si>
  <si>
    <t>Não aplicável — nenhuma exclusão aplicada.</t>
  </si>
  <si>
    <t>Não informado</t>
  </si>
  <si>
    <t>—</t>
  </si>
  <si>
    <t>Atendimento Presencial aos Usuários</t>
  </si>
  <si>
    <t>N2</t>
  </si>
  <si>
    <t>(CIT/MINC) - 2º Nível/BDB</t>
  </si>
  <si>
    <t>Operação e Sustentação da Infraestrutura de TI</t>
  </si>
  <si>
    <t>N3</t>
  </si>
  <si>
    <t>(CIT) Segurança</t>
  </si>
  <si>
    <t>Grupo sob análise de responsabilidade</t>
  </si>
  <si>
    <t>Nenhuma exclusão aplicada — ausência de fundamento documental formal para exclusão do grupo.</t>
  </si>
  <si>
    <t>Grupo não previsto em categorias.yaml. Por padrão continua no consolidado do indicador (denominador = total de registros abertos no período); para excluí-lo, altere "Incluído no INMS?" para "Não" e preencha Justificativa/Documento autorizador ao lado.</t>
  </si>
  <si>
    <t>SUBTOTAIS POR NÍVEL</t>
  </si>
  <si>
    <t>Nível / Grupo</t>
  </si>
  <si>
    <t>% bruto</t>
  </si>
  <si>
    <t>Sem nível (Grupo sob análise de responsabilidade)</t>
  </si>
  <si>
    <t>Total geral</t>
  </si>
  <si>
    <t>COMPLETA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</si>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</sst>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yyyy"/>
    <numFmt numFmtId="165" formatCode="m/d/yyyy\ h:mm"/>
    <numFmt numFmtId="166" formatCode="#,##0.00;\(#,##0.00\);\-"/>
    <numFmt numFmtId="167" formatCode="0.00%;\(0.00%\);\-"/>
    <numFmt numFmtId="168" formatCode="0.0%;\(0.0%\);\-"/>
    <numFmt numFmtId="169" formatCode="#,##0;\(#,##0\);\-"/>
    <numFmt numFmtId="170" formatCode="[h]:mm"/>
    <numFmt numFmtId="171" formatCode="0.0%"/>
  </numFmts>
  <fonts count="23" x14ac:knownFonts="1">
    <font>
      <sz val="11"/>
      <color theme="1"/>
      <name val="Calibri"/>
      <family val="2"/>
      <charset val="1"/>
    </font>
    <font>
      <sz val="11"/>
      <color theme="1"/>
      <name val="Arial Nova"/>
      <family val="2"/>
      <charset val="1"/>
    </font>
    <font>
      <b/>
      <sz val="15"/>
      <color rgb="FFFFFFFF"/>
      <name val="Arial Nova"/>
      <family val="2"/>
      <charset val="1"/>
    </font>
    <font>
      <sz val="11"/>
      <color theme="0"/>
      <name val="Arial Nova"/>
      <family val="2"/>
      <charset val="1"/>
    </font>
    <font>
      <i/>
      <sz val="10"/>
      <color rgb="FF666666"/>
      <name val="Arial Nova"/>
      <family val="2"/>
      <charset val="1"/>
    </font>
    <font>
      <b/>
      <sz val="10"/>
      <color rgb="FF1F1F1F"/>
      <name val="Arial Nova"/>
      <charset val="1"/>
    </font>
    <font>
      <b/>
      <sz val="9"/>
      <color rgb="FFFFFFFF"/>
      <name val="Arial Nova"/>
      <family val="2"/>
      <charset val="1"/>
    </font>
    <font>
      <sz val="10"/>
      <color rgb="FF0000FF"/>
      <name val="Arial Nova"/>
      <family val="2"/>
      <charset val="1"/>
    </font>
    <font>
      <sz val="10"/>
      <color rgb="FF000000"/>
      <name val="Arial Nova"/>
      <family val="2"/>
      <charset val="1"/>
    </font>
    <font>
      <sz val="10"/>
      <color rgb="FF008000"/>
      <name val="Arial Nova"/>
      <family val="2"/>
      <charset val="1"/>
    </font>
    <font>
      <sz val="10"/>
      <name val="Arial"/>
      <family val="2"/>
    </font>
    <font>
      <b/>
      <sz val="10"/>
      <color rgb="FFFFFFFF"/>
      <name val="Arial Nova"/>
      <family val="2"/>
      <charset val="1"/>
    </font>
    <font>
      <b/>
      <sz val="10"/>
      <color rgb="FF666666"/>
      <name val="Arial Nova"/>
      <family val="2"/>
      <charset val="1"/>
    </font>
    <font>
      <sz val="10"/>
      <color rgb="FF666666"/>
      <name val="Arial Nova"/>
      <family val="2"/>
      <charset val="1"/>
    </font>
    <font>
      <b/>
      <sz val="10"/>
      <color rgb="FF1F4E78"/>
      <name val="Arial Nova"/>
      <family val="2"/>
      <charset val="1"/>
    </font>
    <font>
      <sz val="10"/>
      <color theme="1" tint="0.499984740745262"/>
      <name val="Arial Nova"/>
      <family val="2"/>
      <charset val="1"/>
    </font>
    <font>
      <sz val="11"/>
      <color theme="1" tint="0.499984740745262"/>
      <name val="Arial Nova"/>
      <family val="2"/>
      <charset val="1"/>
    </font>
    <font>
      <b/>
      <sz val="14"/>
      <color rgb="FFFFFFFF"/>
      <name val="Arial Nova"/>
      <family val="2"/>
    </font>
    <font>
      <sz val="11"/>
      <color theme="1"/>
      <name val="Arial Nova"/>
      <family val="2"/>
    </font>
    <font>
      <b/>
      <sz val="11"/>
      <color rgb="FFFFFFFF"/>
      <name val="Arial Nova"/>
      <family val="2"/>
    </font>
    <font>
      <b/>
      <sz val="10"/>
      <color rgb="FFFFFFFF"/>
      <name val="Arial Nova"/>
      <family val="2"/>
    </font>
    <font>
      <sz val="10"/>
      <color theme="1"/>
      <name val="Arial Nova"/>
      <family val="2"/>
    </font>
    <font>
      <b/>
      <sz val="10"/>
      <name val="Arial Nova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rgb="FF1F1F1F"/>
      </patternFill>
    </fill>
    <fill>
      <patternFill patternType="solid">
        <fgColor rgb="FFD9EAF7"/>
        <bgColor rgb="FFDCE6F2"/>
      </patternFill>
    </fill>
    <fill>
      <patternFill patternType="solid">
        <fgColor rgb="FF1F4E78"/>
        <bgColor rgb="FF37465D"/>
      </patternFill>
    </fill>
    <fill>
      <patternFill patternType="solid">
        <fgColor theme="4" tint="0.79979857783745845"/>
        <bgColor rgb="FFD9EAF7"/>
      </patternFill>
    </fill>
    <fill>
      <patternFill patternType="solid">
        <fgColor rgb="FFFFF2CC"/>
        <bgColor rgb="FFFCE4D6"/>
      </patternFill>
    </fill>
    <fill>
      <patternFill patternType="solid">
        <fgColor rgb="FF37465D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C6EFE8"/>
        <bgColor rgb="FFD9EAF7"/>
      </patternFill>
    </fill>
    <fill>
      <patternFill patternType="solid">
        <fgColor theme="4" tint="0.79998168889431442"/>
        <bgColor rgb="FFD9EAF7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A6A6A6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rgb="FFC7CED8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0" xfId="0" applyFont="1" applyFill="1" applyAlignment="1">
      <alignment vertical="center"/>
    </xf>
    <xf numFmtId="0" fontId="1" fillId="2" borderId="0" xfId="0" applyFont="1" applyFill="1"/>
    <xf numFmtId="1" fontId="1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10" fontId="5" fillId="3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1" fontId="6" fillId="4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top" wrapText="1"/>
    </xf>
    <xf numFmtId="166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0" fontId="7" fillId="6" borderId="0" xfId="0" applyNumberFormat="1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71" fontId="7" fillId="6" borderId="0" xfId="0" applyNumberFormat="1" applyFont="1" applyFill="1" applyAlignment="1">
      <alignment vertical="center" wrapText="1"/>
    </xf>
    <xf numFmtId="169" fontId="7" fillId="6" borderId="0" xfId="0" applyNumberFormat="1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/>
    <xf numFmtId="0" fontId="7" fillId="6" borderId="0" xfId="0" applyFont="1" applyFill="1"/>
    <xf numFmtId="0" fontId="12" fillId="0" borderId="0" xfId="0" applyFont="1"/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0" fontId="1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vertical="center" wrapText="1"/>
    </xf>
    <xf numFmtId="168" fontId="1" fillId="0" borderId="4" xfId="0" applyNumberFormat="1" applyFont="1" applyBorder="1" applyAlignment="1">
      <alignment vertical="center" wrapText="1"/>
    </xf>
    <xf numFmtId="0" fontId="1" fillId="0" borderId="4" xfId="0" applyFont="1" applyBorder="1"/>
    <xf numFmtId="169" fontId="1" fillId="0" borderId="4" xfId="0" applyNumberFormat="1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18" fillId="0" borderId="0" xfId="0" applyFont="1"/>
    <xf numFmtId="0" fontId="20" fillId="7" borderId="0" xfId="0" applyFont="1" applyFill="1" applyAlignment="1">
      <alignment horizontal="left" vertical="center"/>
    </xf>
    <xf numFmtId="0" fontId="21" fillId="0" borderId="0" xfId="0" applyFont="1"/>
    <xf numFmtId="0" fontId="20" fillId="7" borderId="0" xfId="0" applyFont="1" applyFill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center" wrapText="1"/>
    </xf>
    <xf numFmtId="10" fontId="21" fillId="0" borderId="0" xfId="0" applyNumberFormat="1" applyFont="1" applyAlignment="1">
      <alignment horizontal="center" vertical="center" wrapText="1"/>
    </xf>
    <xf numFmtId="170" fontId="21" fillId="0" borderId="0" xfId="0" applyNumberFormat="1" applyFont="1" applyAlignment="1">
      <alignment horizontal="center" vertical="center" wrapText="1"/>
    </xf>
    <xf numFmtId="0" fontId="17" fillId="7" borderId="0" xfId="0" applyFont="1" applyFill="1" applyAlignment="1">
      <alignment horizontal="left"/>
    </xf>
    <xf numFmtId="0" fontId="19" fillId="7" borderId="5" xfId="0" applyFont="1" applyFill="1" applyBorder="1" applyAlignment="1">
      <alignment horizontal="left" vertical="center" wrapText="1"/>
    </xf>
    <xf numFmtId="0" fontId="19" fillId="7" borderId="5" xfId="0" applyFont="1" applyFill="1" applyBorder="1" applyAlignment="1">
      <alignment horizontal="righ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right" vertical="center" wrapText="1"/>
    </xf>
    <xf numFmtId="10" fontId="21" fillId="0" borderId="5" xfId="0" applyNumberFormat="1" applyFont="1" applyBorder="1" applyAlignment="1">
      <alignment horizontal="right" vertical="center" wrapText="1"/>
    </xf>
    <xf numFmtId="170" fontId="21" fillId="0" borderId="5" xfId="0" applyNumberFormat="1" applyFont="1" applyBorder="1" applyAlignment="1">
      <alignment horizontal="right" vertical="center" wrapText="1"/>
    </xf>
    <xf numFmtId="0" fontId="21" fillId="8" borderId="5" xfId="0" applyFont="1" applyFill="1" applyBorder="1" applyAlignment="1">
      <alignment horizontal="left" vertical="center" wrapText="1"/>
    </xf>
    <xf numFmtId="0" fontId="21" fillId="8" borderId="5" xfId="0" applyFont="1" applyFill="1" applyBorder="1" applyAlignment="1">
      <alignment horizontal="right" vertical="center" wrapText="1"/>
    </xf>
    <xf numFmtId="10" fontId="21" fillId="8" borderId="5" xfId="0" applyNumberFormat="1" applyFont="1" applyFill="1" applyBorder="1" applyAlignment="1">
      <alignment horizontal="right" vertical="center" wrapText="1"/>
    </xf>
    <xf numFmtId="170" fontId="21" fillId="8" borderId="5" xfId="0" applyNumberFormat="1" applyFont="1" applyFill="1" applyBorder="1" applyAlignment="1">
      <alignment horizontal="righ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9" borderId="5" xfId="0" applyFont="1" applyFill="1" applyBorder="1" applyAlignment="1">
      <alignment horizontal="right" vertical="center" wrapText="1"/>
    </xf>
    <xf numFmtId="10" fontId="22" fillId="9" borderId="5" xfId="0" applyNumberFormat="1" applyFont="1" applyFill="1" applyBorder="1" applyAlignment="1">
      <alignment horizontal="right" vertical="center" wrapText="1"/>
    </xf>
    <xf numFmtId="0" fontId="22" fillId="0" borderId="5" xfId="0" applyFont="1" applyBorder="1" applyAlignment="1">
      <alignment horizontal="right" vertical="center" wrapText="1"/>
    </xf>
    <xf numFmtId="164" fontId="7" fillId="10" borderId="0" xfId="0" applyNumberFormat="1" applyFont="1" applyFill="1" applyAlignment="1">
      <alignment horizontal="right" vertical="top"/>
    </xf>
    <xf numFmtId="1" fontId="7" fillId="10" borderId="0" xfId="0" applyNumberFormat="1" applyFont="1" applyFill="1" applyAlignment="1">
      <alignment horizontal="right" vertical="top"/>
    </xf>
    <xf numFmtId="0" fontId="7" fillId="10" borderId="0" xfId="0" applyFont="1" applyFill="1" applyAlignment="1">
      <alignment horizontal="left" vertical="top" wrapText="1"/>
    </xf>
    <xf numFmtId="10" fontId="7" fillId="10" borderId="0" xfId="0" applyNumberFormat="1" applyFont="1" applyFill="1" applyAlignment="1">
      <alignment horizontal="right" vertical="top"/>
    </xf>
    <xf numFmtId="165" fontId="7" fillId="11" borderId="0" xfId="0" applyNumberFormat="1" applyFont="1" applyFill="1" applyAlignment="1">
      <alignment horizontal="right" vertical="top"/>
    </xf>
    <xf numFmtId="165" fontId="7" fillId="10" borderId="0" xfId="0" applyNumberFormat="1" applyFont="1" applyFill="1" applyAlignment="1">
      <alignment horizontal="right" vertical="top"/>
    </xf>
    <xf numFmtId="166" fontId="7" fillId="11" borderId="0" xfId="0" applyNumberFormat="1" applyFont="1" applyFill="1" applyAlignment="1">
      <alignment horizontal="right" vertical="top"/>
    </xf>
    <xf numFmtId="0" fontId="2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10" fontId="18" fillId="0" borderId="0" xfId="0" applyNumberFormat="1" applyFont="1"/>
    <xf numFmtId="170" fontId="18" fillId="0" borderId="0" xfId="0" applyNumberFormat="1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 Nova"/>
        <family val="2"/>
        <scheme val="none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9BD5"/>
      <rgbColor rgb="FF993366"/>
      <rgbColor rgb="FFFFF2CC"/>
      <rgbColor rgb="FFC6EFE8"/>
      <rgbColor rgb="FF660066"/>
      <rgbColor rgb="FFFF8080"/>
      <rgbColor rgb="FF1F4E78"/>
      <rgbColor rgb="FFC7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CE4D6"/>
      <rgbColor rgb="FFDCE6F2"/>
      <rgbColor rgb="FFFFC7CE"/>
      <rgbColor rgb="FFF9F9F9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339966"/>
      <rgbColor rgb="FF10243E"/>
      <rgbColor rgb="FF333300"/>
      <rgbColor rgb="FF993300"/>
      <rgbColor rgb="FF993366"/>
      <rgbColor rgb="FF37465D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rial Nova"/>
              </a:rPr>
              <a:t>Resultado das avaliações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Resumo!$E$3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Resumo!$D$4:$D$6</c:f>
              <c:strCache>
                <c:ptCount val="3"/>
                <c:pt idx="0">
                  <c:v>Dentro do prazo</c:v>
                </c:pt>
                <c:pt idx="1">
                  <c:v>Resultado</c:v>
                </c:pt>
                <c:pt idx="2">
                  <c:v>Pontos totais</c:v>
                </c:pt>
              </c:strCache>
            </c:strRef>
          </c:cat>
          <c:val>
            <c:numRef>
              <c:f>Resumo!$E$4:$E$6</c:f>
              <c:numCache>
                <c:formatCode>General</c:formatCode>
                <c:ptCount val="3"/>
                <c:pt idx="0">
                  <c:v>308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9-4B1A-962F-61F1EEA0E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52166"/>
        <c:axId val="42884310"/>
      </c:barChart>
      <c:catAx>
        <c:axId val="23152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Situação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 Nova"/>
              </a:defRPr>
            </a:pPr>
            <a:endParaRPr lang="en-US"/>
          </a:p>
        </c:txPr>
        <c:crossAx val="42884310"/>
        <c:crosses val="autoZero"/>
        <c:auto val="1"/>
        <c:lblAlgn val="ctr"/>
        <c:lblOffset val="100"/>
        <c:noMultiLvlLbl val="0"/>
      </c:catAx>
      <c:valAx>
        <c:axId val="42884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rial Nova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1521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 Nova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45360</xdr:colOff>
      <xdr:row>10</xdr:row>
      <xdr:rowOff>27360</xdr:rowOff>
    </xdr:from>
    <xdr:to>
      <xdr:col>7</xdr:col>
      <xdr:colOff>572732</xdr:colOff>
      <xdr:row>24</xdr:row>
      <xdr:rowOff>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AvaliacaoSLA" displayName="tbAvaliacaoSLA" ref="A4:S316" totalsRowShown="0">
  <autoFilter ref="A4:S316" xr:uid="{00000000-0009-0000-0100-000001000000}"/>
  <tableColumns count="19">
    <tableColumn id="1" xr3:uid="{00000000-0010-0000-0000-000001000000}" name="Competência" dataDxfId="9"/>
    <tableColumn id="2" xr3:uid="{00000000-0010-0000-0000-000002000000}" name="Nº Solicitação" dataDxfId="8"/>
    <tableColumn id="3" xr3:uid="{00000000-0010-0000-0000-000003000000}" name="Atividade" dataDxfId="7"/>
    <tableColumn id="4" xr3:uid="{00000000-0010-0000-0000-000004000000}" name="SLA" dataDxfId="6"/>
    <tableColumn id="5" xr3:uid="{00000000-0010-0000-0000-000005000000}" name="Data/hora abertura" dataDxfId="5"/>
    <tableColumn id="6" xr3:uid="{00000000-0010-0000-0000-000006000000}" name="Data/hora limite" dataDxfId="4"/>
    <tableColumn id="7" xr3:uid="{00000000-0010-0000-0000-000007000000}" name="Data/hora fim" dataDxfId="3"/>
    <tableColumn id="8" xr3:uid="{00000000-0010-0000-0000-000008000000}" name="No prazo" dataDxfId="2"/>
    <tableColumn id="9" xr3:uid="{00000000-0010-0000-0000-000009000000}" name="IADP"/>
    <tableColumn id="10" xr3:uid="{00000000-0010-0000-0000-00000A000000}" name="IAP"/>
    <tableColumn id="11" xr3:uid="{00000000-0010-0000-0000-00000B000000}" name="INMS 1.1"/>
    <tableColumn id="12" xr3:uid="{00000000-0010-0000-0000-00000C000000}" name="Meta"/>
    <tableColumn id="13" xr3:uid="{00000000-0010-0000-0000-00000D000000}" name="Déficit (p.p.)"/>
    <tableColumn id="14" xr3:uid="{00000000-0010-0000-0000-00000E000000}" name="Faixas de 0,1%"/>
    <tableColumn id="15" xr3:uid="{00000000-0010-0000-0000-00000F000000}" name="Pontos base"/>
    <tableColumn id="16" xr3:uid="{00000000-0010-0000-0000-000010000000}" name="Pontos variáveis"/>
    <tableColumn id="17" xr3:uid="{00000000-0010-0000-0000-000011000000}" name="Pontos totais"/>
    <tableColumn id="18" xr3:uid="{00000000-0010-0000-0000-000012000000}" name="Resultado" dataDxfId="1"/>
    <tableColumn id="19" xr3:uid="{00000000-0010-0000-0000-000013000000}" name="Observaçõ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zoomScaleNormal="100" workbookViewId="0">
      <selection activeCell="A3" sqref="A3"/>
    </sheetView>
  </sheetViews>
  <sheetFormatPr defaultColWidth="8.7109375" defaultRowHeight="24" customHeight="1" x14ac:dyDescent="0.2"/>
  <cols>
    <col min="1" max="1" width="22" style="1" customWidth="1"/>
    <col min="2" max="2" width="115" style="1" customWidth="1"/>
    <col min="3" max="4" width="25" style="1" customWidth="1"/>
    <col min="5" max="16384" width="8.7109375" style="1"/>
  </cols>
  <sheetData>
    <row r="1" spans="1:2" s="4" customFormat="1" ht="24" customHeight="1" x14ac:dyDescent="0.2">
      <c r="A1" s="35" t="s">
        <v>68</v>
      </c>
    </row>
    <row r="3" spans="1:2" ht="24" customHeight="1" x14ac:dyDescent="0.2">
      <c r="A3" s="36" t="s">
        <v>69</v>
      </c>
      <c r="B3" s="47" t="s">
        <v>70</v>
      </c>
    </row>
    <row r="4" spans="1:2" ht="24" customHeight="1" x14ac:dyDescent="0.2">
      <c r="A4" s="36" t="s">
        <v>71</v>
      </c>
      <c r="B4" s="48" t="s">
        <v>72</v>
      </c>
    </row>
    <row r="5" spans="1:2" ht="24" customHeight="1" x14ac:dyDescent="0.2">
      <c r="A5" s="36" t="s">
        <v>73</v>
      </c>
      <c r="B5" s="48" t="s">
        <v>74</v>
      </c>
    </row>
    <row r="6" spans="1:2" ht="24" customHeight="1" x14ac:dyDescent="0.2">
      <c r="A6" s="36" t="s">
        <v>75</v>
      </c>
      <c r="B6" s="48" t="s">
        <v>76</v>
      </c>
    </row>
    <row r="7" spans="1:2" ht="24" customHeight="1" x14ac:dyDescent="0.2">
      <c r="A7" s="36" t="s">
        <v>77</v>
      </c>
      <c r="B7" s="48" t="s">
        <v>78</v>
      </c>
    </row>
    <row r="8" spans="1:2" ht="24" customHeight="1" x14ac:dyDescent="0.2">
      <c r="A8" s="36" t="s">
        <v>79</v>
      </c>
      <c r="B8" s="46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showGridLines="0" zoomScaleNormal="100" workbookViewId="0">
      <pane ySplit="3" topLeftCell="A4" activePane="bottomLeft" state="frozen"/>
      <selection pane="bottomLeft" activeCell="E11" sqref="E11"/>
    </sheetView>
  </sheetViews>
  <sheetFormatPr defaultColWidth="8.7109375" defaultRowHeight="12.75" x14ac:dyDescent="0.2"/>
  <cols>
    <col min="1" max="1" width="38" style="51" customWidth="1"/>
    <col min="2" max="2" width="10" style="51" customWidth="1"/>
    <col min="3" max="3" width="32" style="51" customWidth="1"/>
    <col min="4" max="4" width="10" style="51" customWidth="1"/>
    <col min="5" max="5" width="16" style="51" customWidth="1"/>
    <col min="6" max="6" width="15" style="51" customWidth="1"/>
    <col min="7" max="7" width="19" style="51" customWidth="1"/>
    <col min="8" max="8" width="14" style="51" customWidth="1"/>
    <col min="9" max="9" width="18" style="51" customWidth="1"/>
    <col min="10" max="10" width="48" style="51" customWidth="1"/>
    <col min="11" max="11" width="24" style="51" customWidth="1"/>
    <col min="12" max="12" width="72" style="51" customWidth="1"/>
    <col min="13" max="13" width="2" style="51" hidden="1" customWidth="1"/>
    <col min="14" max="16384" width="8.7109375" style="51"/>
  </cols>
  <sheetData>
    <row r="1" spans="1:13" x14ac:dyDescent="0.2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3" spans="1:13" ht="36" customHeight="1" x14ac:dyDescent="0.2">
      <c r="A3" s="52" t="s">
        <v>89</v>
      </c>
      <c r="B3" s="52" t="s">
        <v>90</v>
      </c>
      <c r="C3" s="52" t="s">
        <v>22</v>
      </c>
      <c r="D3" s="52" t="s">
        <v>91</v>
      </c>
      <c r="E3" s="52" t="s">
        <v>86</v>
      </c>
      <c r="F3" s="52" t="s">
        <v>87</v>
      </c>
      <c r="G3" s="52" t="s">
        <v>92</v>
      </c>
      <c r="H3" s="52" t="s">
        <v>93</v>
      </c>
      <c r="I3" s="52" t="s">
        <v>94</v>
      </c>
      <c r="J3" s="52" t="s">
        <v>95</v>
      </c>
      <c r="K3" s="52" t="s">
        <v>96</v>
      </c>
      <c r="L3" s="52" t="s">
        <v>97</v>
      </c>
      <c r="M3" s="52" t="s">
        <v>98</v>
      </c>
    </row>
    <row r="4" spans="1:13" x14ac:dyDescent="0.2">
      <c r="A4" s="53" t="s">
        <v>99</v>
      </c>
      <c r="B4" s="53" t="s">
        <v>100</v>
      </c>
      <c r="C4" s="53" t="s">
        <v>101</v>
      </c>
      <c r="D4" s="54">
        <f>COUNTIF('Avaliação SLA'!$T$5:$T$316,$M4)</f>
        <v>0</v>
      </c>
      <c r="E4" s="54">
        <f>COUNTIFS('Avaliação SLA'!$T$5:$T$316,$M4,'Avaliação SLA'!$H$5:$H$316,"S")</f>
        <v>0</v>
      </c>
      <c r="F4" s="54">
        <f t="shared" ref="F4:F11" si="0">D4-E4</f>
        <v>0</v>
      </c>
      <c r="G4" s="55" t="str">
        <f t="shared" ref="G4:G11" si="1">IF(D4=0,"Sem ocorrências",E4/D4)</f>
        <v>Sem ocorrências</v>
      </c>
      <c r="H4" s="56" t="str">
        <f>IF(D4=0,"—",AVERAGEIF('Avaliação SLA'!$T$5:$T$316,$M4,'Avaliação SLA'!$U$5:$U$316))</f>
        <v>—</v>
      </c>
      <c r="I4" s="53" t="s">
        <v>102</v>
      </c>
      <c r="J4" s="53" t="s">
        <v>103</v>
      </c>
      <c r="K4" s="53" t="s">
        <v>104</v>
      </c>
      <c r="L4" s="53" t="s">
        <v>105</v>
      </c>
      <c r="M4" s="51" t="s">
        <v>101</v>
      </c>
    </row>
    <row r="5" spans="1:13" x14ac:dyDescent="0.2">
      <c r="A5" s="53" t="s">
        <v>106</v>
      </c>
      <c r="B5" s="53" t="s">
        <v>107</v>
      </c>
      <c r="C5" s="53" t="s">
        <v>29</v>
      </c>
      <c r="D5" s="54">
        <f>COUNTIF('Avaliação SLA'!$T$5:$T$316,$M5)</f>
        <v>60</v>
      </c>
      <c r="E5" s="54">
        <f>COUNTIFS('Avaliação SLA'!$T$5:$T$316,$M5,'Avaliação SLA'!$H$5:$H$316,"S")</f>
        <v>60</v>
      </c>
      <c r="F5" s="54">
        <f t="shared" si="0"/>
        <v>0</v>
      </c>
      <c r="G5" s="55">
        <f t="shared" si="1"/>
        <v>1</v>
      </c>
      <c r="H5" s="56">
        <f>IF(D5=0,"—",AVERAGEIF('Avaliação SLA'!$T$5:$T$316,$M5,'Avaliação SLA'!$U$5:$U$316))</f>
        <v>0.15989583333333326</v>
      </c>
      <c r="I5" s="53" t="s">
        <v>102</v>
      </c>
      <c r="J5" s="53" t="s">
        <v>103</v>
      </c>
      <c r="K5" s="53" t="s">
        <v>104</v>
      </c>
      <c r="L5" s="53" t="s">
        <v>105</v>
      </c>
      <c r="M5" s="51" t="s">
        <v>29</v>
      </c>
    </row>
    <row r="6" spans="1:13" x14ac:dyDescent="0.2">
      <c r="A6" s="53" t="s">
        <v>106</v>
      </c>
      <c r="B6" s="53" t="s">
        <v>107</v>
      </c>
      <c r="C6" s="53" t="s">
        <v>108</v>
      </c>
      <c r="D6" s="54">
        <f>COUNTIF('Avaliação SLA'!$T$5:$T$316,$M6)</f>
        <v>0</v>
      </c>
      <c r="E6" s="54">
        <f>COUNTIFS('Avaliação SLA'!$T$5:$T$316,$M6,'Avaliação SLA'!$H$5:$H$316,"S")</f>
        <v>0</v>
      </c>
      <c r="F6" s="54">
        <f t="shared" si="0"/>
        <v>0</v>
      </c>
      <c r="G6" s="55" t="str">
        <f t="shared" si="1"/>
        <v>Sem ocorrências</v>
      </c>
      <c r="H6" s="56" t="str">
        <f>IF(D6=0,"—",AVERAGEIF('Avaliação SLA'!$T$5:$T$316,$M6,'Avaliação SLA'!$U$5:$U$316))</f>
        <v>—</v>
      </c>
      <c r="I6" s="53" t="s">
        <v>102</v>
      </c>
      <c r="J6" s="53" t="s">
        <v>103</v>
      </c>
      <c r="K6" s="53" t="s">
        <v>104</v>
      </c>
      <c r="L6" s="53" t="s">
        <v>105</v>
      </c>
      <c r="M6" s="51" t="s">
        <v>108</v>
      </c>
    </row>
    <row r="7" spans="1:13" x14ac:dyDescent="0.2">
      <c r="A7" s="53" t="s">
        <v>106</v>
      </c>
      <c r="B7" s="53" t="s">
        <v>107</v>
      </c>
      <c r="C7" s="53" t="s">
        <v>45</v>
      </c>
      <c r="D7" s="54">
        <f>COUNTIF('Avaliação SLA'!$T$5:$T$316,$M7)</f>
        <v>3</v>
      </c>
      <c r="E7" s="54">
        <f>COUNTIFS('Avaliação SLA'!$T$5:$T$316,$M7,'Avaliação SLA'!$H$5:$H$316,"S")</f>
        <v>3</v>
      </c>
      <c r="F7" s="54">
        <f t="shared" si="0"/>
        <v>0</v>
      </c>
      <c r="G7" s="55">
        <f t="shared" si="1"/>
        <v>1</v>
      </c>
      <c r="H7" s="56">
        <f>IF(D7=0,"—",AVERAGEIF('Avaliação SLA'!$T$5:$T$316,$M7,'Avaliação SLA'!$U$5:$U$316))</f>
        <v>4.5833333333333337E-2</v>
      </c>
      <c r="I7" s="53" t="s">
        <v>102</v>
      </c>
      <c r="J7" s="53" t="s">
        <v>103</v>
      </c>
      <c r="K7" s="53" t="s">
        <v>104</v>
      </c>
      <c r="L7" s="53" t="s">
        <v>105</v>
      </c>
      <c r="M7" s="51" t="s">
        <v>45</v>
      </c>
    </row>
    <row r="8" spans="1:13" ht="25.5" x14ac:dyDescent="0.2">
      <c r="A8" s="53" t="s">
        <v>109</v>
      </c>
      <c r="B8" s="53" t="s">
        <v>110</v>
      </c>
      <c r="C8" s="53" t="s">
        <v>27</v>
      </c>
      <c r="D8" s="54">
        <f>COUNTIF('Avaliação SLA'!$T$5:$T$316,$M8)</f>
        <v>234</v>
      </c>
      <c r="E8" s="54">
        <f>COUNTIFS('Avaliação SLA'!$T$5:$T$316,$M8,'Avaliação SLA'!$H$5:$H$316,"S")</f>
        <v>233</v>
      </c>
      <c r="F8" s="54">
        <f t="shared" si="0"/>
        <v>1</v>
      </c>
      <c r="G8" s="55">
        <f t="shared" si="1"/>
        <v>0.99572649572649574</v>
      </c>
      <c r="H8" s="56">
        <f>IF(D8=0,"—",AVERAGEIF('Avaliação SLA'!$T$5:$T$316,$M8,'Avaliação SLA'!$U$5:$U$316))</f>
        <v>8.4087132003798665E-2</v>
      </c>
      <c r="I8" s="53" t="s">
        <v>102</v>
      </c>
      <c r="J8" s="53" t="s">
        <v>103</v>
      </c>
      <c r="K8" s="53" t="s">
        <v>104</v>
      </c>
      <c r="L8" s="53" t="s">
        <v>105</v>
      </c>
      <c r="M8" s="51" t="s">
        <v>27</v>
      </c>
    </row>
    <row r="9" spans="1:13" ht="25.5" x14ac:dyDescent="0.2">
      <c r="A9" s="53" t="s">
        <v>109</v>
      </c>
      <c r="B9" s="53" t="s">
        <v>110</v>
      </c>
      <c r="C9" s="53" t="s">
        <v>40</v>
      </c>
      <c r="D9" s="54">
        <f>COUNTIF('Avaliação SLA'!$T$5:$T$316,$M9)</f>
        <v>6</v>
      </c>
      <c r="E9" s="54">
        <f>COUNTIFS('Avaliação SLA'!$T$5:$T$316,$M9,'Avaliação SLA'!$H$5:$H$316,"S")</f>
        <v>6</v>
      </c>
      <c r="F9" s="54">
        <f t="shared" si="0"/>
        <v>0</v>
      </c>
      <c r="G9" s="55">
        <f t="shared" si="1"/>
        <v>1</v>
      </c>
      <c r="H9" s="56">
        <f>IF(D9=0,"—",AVERAGEIF('Avaliação SLA'!$T$5:$T$316,$M9,'Avaliação SLA'!$U$5:$U$316))</f>
        <v>9.9537037037037025E-3</v>
      </c>
      <c r="I9" s="53" t="s">
        <v>102</v>
      </c>
      <c r="J9" s="53" t="s">
        <v>103</v>
      </c>
      <c r="K9" s="53" t="s">
        <v>104</v>
      </c>
      <c r="L9" s="53" t="s">
        <v>105</v>
      </c>
      <c r="M9" s="51" t="s">
        <v>40</v>
      </c>
    </row>
    <row r="10" spans="1:13" ht="25.5" x14ac:dyDescent="0.2">
      <c r="A10" s="53" t="s">
        <v>109</v>
      </c>
      <c r="B10" s="53" t="s">
        <v>110</v>
      </c>
      <c r="C10" s="53" t="s">
        <v>111</v>
      </c>
      <c r="D10" s="54">
        <f>COUNTIF('Avaliação SLA'!$T$5:$T$316,$M10)</f>
        <v>0</v>
      </c>
      <c r="E10" s="54">
        <f>COUNTIFS('Avaliação SLA'!$T$5:$T$316,$M10,'Avaliação SLA'!$H$5:$H$316,"S")</f>
        <v>0</v>
      </c>
      <c r="F10" s="54">
        <f t="shared" si="0"/>
        <v>0</v>
      </c>
      <c r="G10" s="55" t="str">
        <f t="shared" si="1"/>
        <v>Sem ocorrências</v>
      </c>
      <c r="H10" s="56" t="str">
        <f>IF(D10=0,"—",AVERAGEIF('Avaliação SLA'!$T$5:$T$316,$M10,'Avaliação SLA'!$U$5:$U$316))</f>
        <v>—</v>
      </c>
      <c r="I10" s="53" t="s">
        <v>102</v>
      </c>
      <c r="J10" s="53" t="s">
        <v>103</v>
      </c>
      <c r="K10" s="53" t="s">
        <v>104</v>
      </c>
      <c r="L10" s="53" t="s">
        <v>105</v>
      </c>
      <c r="M10" s="51" t="s">
        <v>111</v>
      </c>
    </row>
    <row r="11" spans="1:13" ht="51" x14ac:dyDescent="0.2">
      <c r="A11" s="53" t="s">
        <v>112</v>
      </c>
      <c r="B11" s="53" t="s">
        <v>105</v>
      </c>
      <c r="C11" s="53" t="s">
        <v>34</v>
      </c>
      <c r="D11" s="54">
        <f>COUNTIF('Avaliação SLA'!$T$5:$T$316,$M11)</f>
        <v>9</v>
      </c>
      <c r="E11" s="54">
        <f>COUNTIFS('Avaliação SLA'!$T$5:$T$316,$M11,'Avaliação SLA'!$H$5:$H$316,"S")</f>
        <v>6</v>
      </c>
      <c r="F11" s="54">
        <f t="shared" si="0"/>
        <v>3</v>
      </c>
      <c r="G11" s="55">
        <f t="shared" si="1"/>
        <v>0.66666666666666663</v>
      </c>
      <c r="H11" s="56">
        <f>IF(D11=0,"—",AVERAGEIF('Avaliação SLA'!$T$5:$T$316,$M11,'Avaliação SLA'!$U$5:$U$316))</f>
        <v>0.4405092592592591</v>
      </c>
      <c r="I11" s="53" t="s">
        <v>121</v>
      </c>
      <c r="J11" s="53" t="s">
        <v>113</v>
      </c>
      <c r="K11" s="53" t="s">
        <v>104</v>
      </c>
      <c r="L11" s="53" t="s">
        <v>114</v>
      </c>
      <c r="M11" s="51" t="s">
        <v>34</v>
      </c>
    </row>
  </sheetData>
  <autoFilter ref="A3:L11" xr:uid="{00000000-0009-0000-0000-000004000000}"/>
  <mergeCells count="1">
    <mergeCell ref="A1:M1"/>
  </mergeCells>
  <conditionalFormatting sqref="G4:G11">
    <cfRule type="cellIs" dxfId="10" priority="2" operator="lessThan">
      <formula>0.98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16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32" defaultRowHeight="14.25" x14ac:dyDescent="0.2"/>
  <cols>
    <col min="1" max="1" width="13" style="1" customWidth="1"/>
    <col min="2" max="2" width="17" style="1" bestFit="1" customWidth="1"/>
    <col min="3" max="3" width="47.42578125" style="1" customWidth="1"/>
    <col min="4" max="4" width="30" style="2" customWidth="1"/>
    <col min="5" max="7" width="19" style="1" customWidth="1"/>
    <col min="8" max="8" width="11" style="1" customWidth="1"/>
    <col min="9" max="10" width="10" style="1" customWidth="1"/>
    <col min="11" max="11" width="12" style="1" customWidth="1"/>
    <col min="12" max="13" width="10" style="1" customWidth="1"/>
    <col min="14" max="14" width="16" style="1" customWidth="1"/>
    <col min="15" max="15" width="13" style="1" customWidth="1"/>
    <col min="16" max="16" width="16" style="1" customWidth="1"/>
    <col min="17" max="17" width="14" style="1" customWidth="1"/>
    <col min="18" max="18" width="20" style="51" customWidth="1"/>
    <col min="19" max="19" width="30" style="49" hidden="1" customWidth="1"/>
    <col min="20" max="21" width="32" style="49"/>
    <col min="22" max="16384" width="32" style="1"/>
  </cols>
  <sheetData>
    <row r="1" spans="1:21" ht="19.5" customHeight="1" x14ac:dyDescent="0.2">
      <c r="A1" s="3" t="s">
        <v>0</v>
      </c>
      <c r="B1" s="3"/>
      <c r="C1" s="4"/>
      <c r="D1" s="5"/>
      <c r="E1" s="4"/>
      <c r="F1" s="4"/>
      <c r="G1" s="4"/>
      <c r="H1" s="4"/>
      <c r="I1" s="4"/>
      <c r="J1" s="4"/>
      <c r="K1" s="4"/>
      <c r="L1" s="4"/>
      <c r="M1" s="6"/>
    </row>
    <row r="2" spans="1:21" x14ac:dyDescent="0.2">
      <c r="A2" s="7" t="s">
        <v>1</v>
      </c>
    </row>
    <row r="3" spans="1:21" ht="15" customHeight="1" x14ac:dyDescent="0.2">
      <c r="A3" s="8" t="s">
        <v>2</v>
      </c>
      <c r="B3" s="8"/>
      <c r="C3" s="8" t="str">
        <f>SUBTOTAL(103,B5:B316)&amp;" incidentes"</f>
        <v>312 incidentes</v>
      </c>
      <c r="D3" s="9"/>
      <c r="E3" s="10"/>
      <c r="F3" s="10"/>
      <c r="G3" s="10"/>
      <c r="H3" s="10"/>
      <c r="I3" s="10">
        <f>SUBTOTAL(109,I5:I316)</f>
        <v>308</v>
      </c>
      <c r="J3" s="10">
        <f>SUBTOTAL(109,J5:J316)</f>
        <v>312</v>
      </c>
      <c r="K3" s="9">
        <f>IFERROR(I3/J3,"")</f>
        <v>0.98717948717948723</v>
      </c>
      <c r="L3" s="9">
        <f>Parâmetros!$B$4</f>
        <v>0.98</v>
      </c>
      <c r="M3" s="9">
        <f>IF(K3="","",MAX(0,L3-K3))</f>
        <v>0</v>
      </c>
      <c r="N3" s="11">
        <f>IF(M3="","",IF(Parâmetros!$B$8="INICIADA",ROUNDUP(M3/Parâmetros!$B$5,0),ROUNDDOWN(M3/Parâmetros!$B$5,0)))</f>
        <v>0</v>
      </c>
      <c r="O3" s="11">
        <f>IF(K3&lt;L3,Parâmetros!$B$6,0)</f>
        <v>0</v>
      </c>
      <c r="P3" s="8">
        <f>IF(K3&lt;L3,N3*Parâmetros!$B$7,0)</f>
        <v>0</v>
      </c>
      <c r="Q3" s="12">
        <f>O3+P3</f>
        <v>0</v>
      </c>
      <c r="R3" s="79" t="str">
        <f>IF(K3&gt;=L3,"ATENDIDO","NÃO ATENDIDO")</f>
        <v>ATENDIDO</v>
      </c>
      <c r="S3" s="80"/>
    </row>
    <row r="4" spans="1:21" ht="24" customHeight="1" x14ac:dyDescent="0.2">
      <c r="A4" s="13" t="s">
        <v>3</v>
      </c>
      <c r="B4" s="13" t="s">
        <v>4</v>
      </c>
      <c r="C4" s="13" t="s">
        <v>5</v>
      </c>
      <c r="D4" s="13" t="s">
        <v>6</v>
      </c>
      <c r="E4" s="14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51" t="s">
        <v>20</v>
      </c>
      <c r="S4" s="81" t="s">
        <v>21</v>
      </c>
      <c r="T4" s="81" t="s">
        <v>22</v>
      </c>
      <c r="U4" s="81" t="s">
        <v>23</v>
      </c>
    </row>
    <row r="5" spans="1:21" x14ac:dyDescent="0.2">
      <c r="A5" s="72">
        <v>46204</v>
      </c>
      <c r="B5" s="73">
        <v>89352</v>
      </c>
      <c r="C5" s="74" t="s">
        <v>24</v>
      </c>
      <c r="D5" s="75" t="s">
        <v>25</v>
      </c>
      <c r="E5" s="76">
        <v>46204.3305555556</v>
      </c>
      <c r="F5" s="77">
        <v>46204.458333333299</v>
      </c>
      <c r="G5" s="77">
        <v>46204.45</v>
      </c>
      <c r="H5" s="78" t="s">
        <v>26</v>
      </c>
      <c r="I5" s="16">
        <f t="shared" ref="I5:I68" si="0">IF(H5="S",1,0)</f>
        <v>1</v>
      </c>
      <c r="J5" s="16">
        <v>1</v>
      </c>
      <c r="K5" s="17"/>
      <c r="L5" s="18"/>
      <c r="M5" s="19"/>
      <c r="N5" s="20"/>
      <c r="O5" s="20"/>
      <c r="P5" s="21"/>
      <c r="Q5" s="15"/>
      <c r="R5" s="51" t="str">
        <f t="shared" ref="R5:R68" si="1">IF(H5="S","DENTRO DO PRAZO","FORA DO PRAZO")</f>
        <v>DENTRO DO PRAZO</v>
      </c>
      <c r="S5" s="82"/>
      <c r="T5" s="49" t="s">
        <v>27</v>
      </c>
      <c r="U5" s="83">
        <v>0.11944444444444501</v>
      </c>
    </row>
    <row r="6" spans="1:21" x14ac:dyDescent="0.2">
      <c r="A6" s="72">
        <v>46204</v>
      </c>
      <c r="B6" s="73">
        <v>89412</v>
      </c>
      <c r="C6" s="74" t="s">
        <v>28</v>
      </c>
      <c r="D6" s="75" t="s">
        <v>25</v>
      </c>
      <c r="E6" s="76">
        <v>46204.399305555598</v>
      </c>
      <c r="F6" s="77">
        <v>46204.482638888898</v>
      </c>
      <c r="G6" s="77">
        <v>46204.423611111102</v>
      </c>
      <c r="H6" s="78" t="s">
        <v>26</v>
      </c>
      <c r="I6" s="16">
        <f t="shared" si="0"/>
        <v>1</v>
      </c>
      <c r="J6" s="16">
        <v>1</v>
      </c>
      <c r="K6" s="17"/>
      <c r="L6" s="18"/>
      <c r="M6" s="19"/>
      <c r="N6" s="20"/>
      <c r="O6" s="20"/>
      <c r="P6" s="21"/>
      <c r="Q6" s="15"/>
      <c r="R6" s="51" t="str">
        <f t="shared" si="1"/>
        <v>DENTRO DO PRAZO</v>
      </c>
      <c r="S6" s="82"/>
      <c r="T6" s="49" t="s">
        <v>29</v>
      </c>
      <c r="U6" s="83">
        <v>2.4305555555555601E-2</v>
      </c>
    </row>
    <row r="7" spans="1:21" x14ac:dyDescent="0.2">
      <c r="A7" s="72">
        <v>46204</v>
      </c>
      <c r="B7" s="73">
        <v>89454</v>
      </c>
      <c r="C7" s="74" t="s">
        <v>30</v>
      </c>
      <c r="D7" s="75" t="s">
        <v>25</v>
      </c>
      <c r="E7" s="76">
        <v>46204.468055555597</v>
      </c>
      <c r="F7" s="77">
        <v>46204.551388888904</v>
      </c>
      <c r="G7" s="77">
        <v>46204.515277777798</v>
      </c>
      <c r="H7" s="78" t="s">
        <v>26</v>
      </c>
      <c r="I7" s="16">
        <f t="shared" si="0"/>
        <v>1</v>
      </c>
      <c r="J7" s="16">
        <v>1</v>
      </c>
      <c r="K7" s="17"/>
      <c r="L7" s="18"/>
      <c r="M7" s="19"/>
      <c r="N7" s="20"/>
      <c r="O7" s="20"/>
      <c r="P7" s="21"/>
      <c r="Q7" s="15"/>
      <c r="R7" s="51" t="str">
        <f t="shared" si="1"/>
        <v>DENTRO DO PRAZO</v>
      </c>
      <c r="S7" s="82"/>
      <c r="T7" s="49" t="s">
        <v>29</v>
      </c>
      <c r="U7" s="83">
        <v>4.72222222222222E-2</v>
      </c>
    </row>
    <row r="8" spans="1:21" x14ac:dyDescent="0.2">
      <c r="A8" s="72">
        <v>46204</v>
      </c>
      <c r="B8" s="73">
        <v>89479</v>
      </c>
      <c r="C8" s="74" t="s">
        <v>30</v>
      </c>
      <c r="D8" s="75" t="s">
        <v>25</v>
      </c>
      <c r="E8" s="76">
        <v>46204.501388888901</v>
      </c>
      <c r="F8" s="77">
        <v>46204.610416666699</v>
      </c>
      <c r="G8" s="77">
        <v>46204.5715277778</v>
      </c>
      <c r="H8" s="78" t="s">
        <v>26</v>
      </c>
      <c r="I8" s="16">
        <f t="shared" si="0"/>
        <v>1</v>
      </c>
      <c r="J8" s="16">
        <v>1</v>
      </c>
      <c r="K8" s="17"/>
      <c r="L8" s="18"/>
      <c r="M8" s="19"/>
      <c r="N8" s="20"/>
      <c r="O8" s="20"/>
      <c r="P8" s="21"/>
      <c r="Q8" s="15"/>
      <c r="R8" s="51" t="str">
        <f t="shared" si="1"/>
        <v>DENTRO DO PRAZO</v>
      </c>
      <c r="S8" s="82"/>
      <c r="T8" s="49" t="s">
        <v>29</v>
      </c>
      <c r="U8" s="83">
        <v>7.0138888888888903E-2</v>
      </c>
    </row>
    <row r="9" spans="1:21" x14ac:dyDescent="0.2">
      <c r="A9" s="72">
        <v>46204</v>
      </c>
      <c r="B9" s="73">
        <v>89507</v>
      </c>
      <c r="C9" s="74" t="s">
        <v>31</v>
      </c>
      <c r="D9" s="75" t="s">
        <v>25</v>
      </c>
      <c r="E9" s="76">
        <v>46204.622222222199</v>
      </c>
      <c r="F9" s="77">
        <v>46204.7055555556</v>
      </c>
      <c r="G9" s="77">
        <v>46204.6743055556</v>
      </c>
      <c r="H9" s="78" t="s">
        <v>26</v>
      </c>
      <c r="I9" s="16">
        <f t="shared" si="0"/>
        <v>1</v>
      </c>
      <c r="J9" s="16">
        <v>1</v>
      </c>
      <c r="K9" s="17"/>
      <c r="L9" s="18"/>
      <c r="M9" s="19"/>
      <c r="N9" s="20"/>
      <c r="O9" s="20"/>
      <c r="P9" s="21"/>
      <c r="Q9" s="15"/>
      <c r="R9" s="51" t="str">
        <f t="shared" si="1"/>
        <v>DENTRO DO PRAZO</v>
      </c>
      <c r="S9" s="82"/>
      <c r="T9" s="49" t="s">
        <v>29</v>
      </c>
      <c r="U9" s="83">
        <v>5.2083333333333301E-2</v>
      </c>
    </row>
    <row r="10" spans="1:21" x14ac:dyDescent="0.2">
      <c r="A10" s="72">
        <v>46204</v>
      </c>
      <c r="B10" s="73">
        <v>89540</v>
      </c>
      <c r="C10" s="74" t="s">
        <v>32</v>
      </c>
      <c r="D10" s="75" t="s">
        <v>25</v>
      </c>
      <c r="E10" s="76">
        <v>46204.681250000001</v>
      </c>
      <c r="F10" s="77">
        <v>46204.764583333301</v>
      </c>
      <c r="G10" s="77">
        <v>46204.7055555556</v>
      </c>
      <c r="H10" s="78" t="s">
        <v>26</v>
      </c>
      <c r="I10" s="16">
        <f t="shared" si="0"/>
        <v>1</v>
      </c>
      <c r="J10" s="16">
        <v>1</v>
      </c>
      <c r="K10" s="17"/>
      <c r="L10" s="18"/>
      <c r="M10" s="19"/>
      <c r="N10" s="20"/>
      <c r="O10" s="20"/>
      <c r="P10" s="21"/>
      <c r="Q10" s="15"/>
      <c r="R10" s="51" t="str">
        <f t="shared" si="1"/>
        <v>DENTRO DO PRAZO</v>
      </c>
      <c r="S10" s="82"/>
      <c r="T10" s="49" t="s">
        <v>29</v>
      </c>
      <c r="U10" s="83">
        <v>2.4305555555555601E-2</v>
      </c>
    </row>
    <row r="11" spans="1:21" x14ac:dyDescent="0.2">
      <c r="A11" s="72">
        <v>46204</v>
      </c>
      <c r="B11" s="73">
        <v>89543</v>
      </c>
      <c r="C11" s="74" t="s">
        <v>32</v>
      </c>
      <c r="D11" s="75" t="s">
        <v>25</v>
      </c>
      <c r="E11" s="76">
        <v>46204.684722222199</v>
      </c>
      <c r="F11" s="77">
        <v>46204.7680555556</v>
      </c>
      <c r="G11" s="77">
        <v>46204.7055555556</v>
      </c>
      <c r="H11" s="78" t="s">
        <v>26</v>
      </c>
      <c r="I11" s="16">
        <f t="shared" si="0"/>
        <v>1</v>
      </c>
      <c r="J11" s="16">
        <v>1</v>
      </c>
      <c r="K11" s="17"/>
      <c r="L11" s="18"/>
      <c r="M11" s="19"/>
      <c r="N11" s="20"/>
      <c r="O11" s="20"/>
      <c r="P11" s="21"/>
      <c r="Q11" s="15"/>
      <c r="R11" s="51" t="str">
        <f t="shared" si="1"/>
        <v>DENTRO DO PRAZO</v>
      </c>
      <c r="S11" s="82"/>
      <c r="T11" s="49" t="s">
        <v>29</v>
      </c>
      <c r="U11" s="83">
        <v>2.0833333333333301E-2</v>
      </c>
    </row>
    <row r="12" spans="1:21" x14ac:dyDescent="0.2">
      <c r="A12" s="72">
        <v>46204</v>
      </c>
      <c r="B12" s="73">
        <v>89624</v>
      </c>
      <c r="C12" s="74" t="s">
        <v>33</v>
      </c>
      <c r="D12" s="75" t="s">
        <v>25</v>
      </c>
      <c r="E12" s="76">
        <v>46205.379166666702</v>
      </c>
      <c r="F12" s="77">
        <v>46205.462500000001</v>
      </c>
      <c r="G12" s="77">
        <v>46205.390277777798</v>
      </c>
      <c r="H12" s="78" t="s">
        <v>26</v>
      </c>
      <c r="I12" s="16">
        <f t="shared" si="0"/>
        <v>1</v>
      </c>
      <c r="J12" s="16">
        <v>1</v>
      </c>
      <c r="K12" s="17"/>
      <c r="L12" s="18"/>
      <c r="M12" s="19"/>
      <c r="N12" s="20"/>
      <c r="O12" s="20"/>
      <c r="P12" s="21"/>
      <c r="Q12" s="15"/>
      <c r="R12" s="51" t="str">
        <f t="shared" si="1"/>
        <v>DENTRO DO PRAZO</v>
      </c>
      <c r="S12" s="82"/>
      <c r="T12" s="49" t="s">
        <v>34</v>
      </c>
      <c r="U12" s="83">
        <v>1.1111111111111099E-2</v>
      </c>
    </row>
    <row r="13" spans="1:21" x14ac:dyDescent="0.2">
      <c r="A13" s="72">
        <v>46204</v>
      </c>
      <c r="B13" s="73">
        <v>89639</v>
      </c>
      <c r="C13" s="74" t="s">
        <v>35</v>
      </c>
      <c r="D13" s="75" t="s">
        <v>25</v>
      </c>
      <c r="E13" s="76">
        <v>46205.420833333301</v>
      </c>
      <c r="F13" s="77">
        <v>46205.504166666702</v>
      </c>
      <c r="G13" s="77">
        <v>46205.465277777803</v>
      </c>
      <c r="H13" s="78" t="s">
        <v>26</v>
      </c>
      <c r="I13" s="16">
        <f t="shared" si="0"/>
        <v>1</v>
      </c>
      <c r="J13" s="16">
        <v>1</v>
      </c>
      <c r="K13" s="17"/>
      <c r="L13" s="18"/>
      <c r="M13" s="19"/>
      <c r="N13" s="20"/>
      <c r="O13" s="20"/>
      <c r="P13" s="21"/>
      <c r="Q13" s="15"/>
      <c r="R13" s="51" t="str">
        <f t="shared" si="1"/>
        <v>DENTRO DO PRAZO</v>
      </c>
      <c r="S13" s="82"/>
      <c r="T13" s="49" t="s">
        <v>29</v>
      </c>
      <c r="U13" s="83">
        <v>4.4444444444444502E-2</v>
      </c>
    </row>
    <row r="14" spans="1:21" x14ac:dyDescent="0.2">
      <c r="A14" s="72">
        <v>46204</v>
      </c>
      <c r="B14" s="73">
        <v>89689</v>
      </c>
      <c r="C14" s="74" t="s">
        <v>33</v>
      </c>
      <c r="D14" s="75" t="s">
        <v>25</v>
      </c>
      <c r="E14" s="76">
        <v>46205.495138888902</v>
      </c>
      <c r="F14" s="77">
        <v>46205.578472222202</v>
      </c>
      <c r="G14" s="77">
        <v>46205.5805555556</v>
      </c>
      <c r="H14" s="78" t="s">
        <v>36</v>
      </c>
      <c r="I14" s="16">
        <f t="shared" si="0"/>
        <v>0</v>
      </c>
      <c r="J14" s="16">
        <v>1</v>
      </c>
      <c r="K14" s="17"/>
      <c r="L14" s="18"/>
      <c r="M14" s="19"/>
      <c r="N14" s="20"/>
      <c r="O14" s="20"/>
      <c r="P14" s="21"/>
      <c r="Q14" s="15"/>
      <c r="R14" s="51" t="str">
        <f t="shared" si="1"/>
        <v>FORA DO PRAZO</v>
      </c>
      <c r="S14" s="82"/>
      <c r="T14" s="49" t="s">
        <v>34</v>
      </c>
      <c r="U14" s="83">
        <v>8.5416666666666696E-2</v>
      </c>
    </row>
    <row r="15" spans="1:21" x14ac:dyDescent="0.2">
      <c r="A15" s="72">
        <v>46204</v>
      </c>
      <c r="B15" s="73">
        <v>89732</v>
      </c>
      <c r="C15" s="74" t="s">
        <v>37</v>
      </c>
      <c r="D15" s="75" t="s">
        <v>25</v>
      </c>
      <c r="E15" s="76">
        <v>46205.585416666698</v>
      </c>
      <c r="F15" s="77">
        <v>46205.668749999997</v>
      </c>
      <c r="G15" s="77">
        <v>46205.617361111101</v>
      </c>
      <c r="H15" s="78" t="s">
        <v>26</v>
      </c>
      <c r="I15" s="16">
        <f t="shared" si="0"/>
        <v>1</v>
      </c>
      <c r="J15" s="16">
        <v>1</v>
      </c>
      <c r="K15" s="17"/>
      <c r="L15" s="18"/>
      <c r="M15" s="19"/>
      <c r="N15" s="20"/>
      <c r="O15" s="20"/>
      <c r="P15" s="21"/>
      <c r="Q15" s="15"/>
      <c r="R15" s="51" t="str">
        <f t="shared" si="1"/>
        <v>DENTRO DO PRAZO</v>
      </c>
      <c r="S15" s="82"/>
      <c r="T15" s="49" t="s">
        <v>27</v>
      </c>
      <c r="U15" s="83">
        <v>3.19444444444444E-2</v>
      </c>
    </row>
    <row r="16" spans="1:21" x14ac:dyDescent="0.2">
      <c r="A16" s="72">
        <v>46204</v>
      </c>
      <c r="B16" s="73">
        <v>89733</v>
      </c>
      <c r="C16" s="74" t="s">
        <v>37</v>
      </c>
      <c r="D16" s="75" t="s">
        <v>25</v>
      </c>
      <c r="E16" s="76">
        <v>46205.585416666698</v>
      </c>
      <c r="F16" s="77">
        <v>46205.668749999997</v>
      </c>
      <c r="G16" s="77">
        <v>46205.6069444444</v>
      </c>
      <c r="H16" s="78" t="s">
        <v>26</v>
      </c>
      <c r="I16" s="16">
        <f t="shared" si="0"/>
        <v>1</v>
      </c>
      <c r="J16" s="16">
        <v>1</v>
      </c>
      <c r="K16" s="17"/>
      <c r="L16" s="18"/>
      <c r="M16" s="19"/>
      <c r="N16" s="20"/>
      <c r="O16" s="20"/>
      <c r="P16" s="21"/>
      <c r="Q16" s="15"/>
      <c r="R16" s="51" t="str">
        <f t="shared" si="1"/>
        <v>DENTRO DO PRAZO</v>
      </c>
      <c r="S16" s="82"/>
      <c r="T16" s="49" t="s">
        <v>27</v>
      </c>
      <c r="U16" s="83">
        <v>2.1527777777777798E-2</v>
      </c>
    </row>
    <row r="17" spans="1:21" x14ac:dyDescent="0.2">
      <c r="A17" s="72">
        <v>46204</v>
      </c>
      <c r="B17" s="73">
        <v>89741</v>
      </c>
      <c r="C17" s="74" t="s">
        <v>31</v>
      </c>
      <c r="D17" s="75" t="s">
        <v>25</v>
      </c>
      <c r="E17" s="76">
        <v>46205.597222222197</v>
      </c>
      <c r="F17" s="77">
        <v>46205.680555555598</v>
      </c>
      <c r="G17" s="77">
        <v>46205.640972222202</v>
      </c>
      <c r="H17" s="78" t="s">
        <v>26</v>
      </c>
      <c r="I17" s="16">
        <f t="shared" si="0"/>
        <v>1</v>
      </c>
      <c r="J17" s="16">
        <v>1</v>
      </c>
      <c r="K17" s="17"/>
      <c r="L17" s="18"/>
      <c r="M17" s="19"/>
      <c r="N17" s="20"/>
      <c r="O17" s="20"/>
      <c r="P17" s="21"/>
      <c r="Q17" s="15"/>
      <c r="R17" s="51" t="str">
        <f t="shared" si="1"/>
        <v>DENTRO DO PRAZO</v>
      </c>
      <c r="S17" s="82"/>
      <c r="T17" s="49" t="s">
        <v>29</v>
      </c>
      <c r="U17" s="83">
        <v>4.3749999999999997E-2</v>
      </c>
    </row>
    <row r="18" spans="1:21" x14ac:dyDescent="0.2">
      <c r="A18" s="72">
        <v>46204</v>
      </c>
      <c r="B18" s="73">
        <v>89763</v>
      </c>
      <c r="C18" s="74" t="s">
        <v>38</v>
      </c>
      <c r="D18" s="75" t="s">
        <v>25</v>
      </c>
      <c r="E18" s="76">
        <v>46205.613194444399</v>
      </c>
      <c r="F18" s="77">
        <v>46205.6965277778</v>
      </c>
      <c r="G18" s="77">
        <v>46205.716666666704</v>
      </c>
      <c r="H18" s="78" t="s">
        <v>36</v>
      </c>
      <c r="I18" s="16">
        <f t="shared" si="0"/>
        <v>0</v>
      </c>
      <c r="J18" s="16">
        <v>1</v>
      </c>
      <c r="K18" s="17"/>
      <c r="L18" s="18"/>
      <c r="M18" s="19"/>
      <c r="N18" s="20"/>
      <c r="O18" s="20"/>
      <c r="P18" s="21"/>
      <c r="Q18" s="15"/>
      <c r="R18" s="51" t="str">
        <f t="shared" si="1"/>
        <v>FORA DO PRAZO</v>
      </c>
      <c r="S18" s="82"/>
      <c r="T18" s="49" t="s">
        <v>27</v>
      </c>
      <c r="U18" s="83">
        <v>0.10347222222222199</v>
      </c>
    </row>
    <row r="19" spans="1:21" x14ac:dyDescent="0.2">
      <c r="A19" s="72">
        <v>46204</v>
      </c>
      <c r="B19" s="73">
        <v>89800</v>
      </c>
      <c r="C19" s="74" t="s">
        <v>39</v>
      </c>
      <c r="D19" s="75" t="s">
        <v>25</v>
      </c>
      <c r="E19" s="76">
        <v>46205.663888888899</v>
      </c>
      <c r="F19" s="77">
        <v>46205.747222222199</v>
      </c>
      <c r="G19" s="77">
        <v>46205.704861111102</v>
      </c>
      <c r="H19" s="78" t="s">
        <v>26</v>
      </c>
      <c r="I19" s="16">
        <f t="shared" si="0"/>
        <v>1</v>
      </c>
      <c r="J19" s="16">
        <v>1</v>
      </c>
      <c r="K19" s="17"/>
      <c r="L19" s="18"/>
      <c r="M19" s="19"/>
      <c r="N19" s="20"/>
      <c r="O19" s="20"/>
      <c r="P19" s="21"/>
      <c r="Q19" s="15"/>
      <c r="R19" s="51" t="str">
        <f t="shared" si="1"/>
        <v>DENTRO DO PRAZO</v>
      </c>
      <c r="S19" s="82"/>
      <c r="T19" s="49" t="s">
        <v>40</v>
      </c>
      <c r="U19" s="83">
        <v>4.0972222222222202E-2</v>
      </c>
    </row>
    <row r="20" spans="1:21" x14ac:dyDescent="0.2">
      <c r="A20" s="72">
        <v>46204</v>
      </c>
      <c r="B20" s="73">
        <v>89833</v>
      </c>
      <c r="C20" s="74" t="s">
        <v>30</v>
      </c>
      <c r="D20" s="75" t="s">
        <v>25</v>
      </c>
      <c r="E20" s="76">
        <v>46206.327083333301</v>
      </c>
      <c r="F20" s="77">
        <v>46206.410416666702</v>
      </c>
      <c r="G20" s="77">
        <v>46206.370138888902</v>
      </c>
      <c r="H20" s="78" t="s">
        <v>26</v>
      </c>
      <c r="I20" s="16">
        <f t="shared" si="0"/>
        <v>1</v>
      </c>
      <c r="J20" s="16">
        <v>1</v>
      </c>
      <c r="K20" s="17"/>
      <c r="L20" s="18"/>
      <c r="M20" s="19"/>
      <c r="N20" s="20"/>
      <c r="O20" s="20"/>
      <c r="P20" s="21"/>
      <c r="Q20" s="15"/>
      <c r="R20" s="51" t="str">
        <f t="shared" si="1"/>
        <v>DENTRO DO PRAZO</v>
      </c>
      <c r="S20" s="82"/>
      <c r="T20" s="49" t="s">
        <v>29</v>
      </c>
      <c r="U20" s="83">
        <v>4.3055555555555597E-2</v>
      </c>
    </row>
    <row r="21" spans="1:21" x14ac:dyDescent="0.2">
      <c r="A21" s="72">
        <v>46204</v>
      </c>
      <c r="B21" s="73">
        <v>89843</v>
      </c>
      <c r="C21" s="74" t="s">
        <v>31</v>
      </c>
      <c r="D21" s="75" t="s">
        <v>25</v>
      </c>
      <c r="E21" s="76">
        <v>46206.390277777798</v>
      </c>
      <c r="F21" s="77">
        <v>46206.473611111098</v>
      </c>
      <c r="G21" s="77">
        <v>46206.4194444444</v>
      </c>
      <c r="H21" s="78" t="s">
        <v>26</v>
      </c>
      <c r="I21" s="16">
        <f t="shared" si="0"/>
        <v>1</v>
      </c>
      <c r="J21" s="16">
        <v>1</v>
      </c>
      <c r="K21" s="17"/>
      <c r="L21" s="18"/>
      <c r="M21" s="19"/>
      <c r="N21" s="20"/>
      <c r="O21" s="20"/>
      <c r="P21" s="21"/>
      <c r="Q21" s="15"/>
      <c r="R21" s="51" t="str">
        <f t="shared" si="1"/>
        <v>DENTRO DO PRAZO</v>
      </c>
      <c r="S21" s="82"/>
      <c r="T21" s="49" t="s">
        <v>29</v>
      </c>
      <c r="U21" s="83">
        <v>2.9166666666666698E-2</v>
      </c>
    </row>
    <row r="22" spans="1:21" x14ac:dyDescent="0.2">
      <c r="A22" s="72">
        <v>46204</v>
      </c>
      <c r="B22" s="73">
        <v>89902</v>
      </c>
      <c r="C22" s="74" t="s">
        <v>33</v>
      </c>
      <c r="D22" s="75" t="s">
        <v>25</v>
      </c>
      <c r="E22" s="76">
        <v>46206.582638888904</v>
      </c>
      <c r="F22" s="77">
        <v>46206.666666666701</v>
      </c>
      <c r="G22" s="77">
        <v>46206.613888888904</v>
      </c>
      <c r="H22" s="78" t="s">
        <v>26</v>
      </c>
      <c r="I22" s="16">
        <f t="shared" si="0"/>
        <v>1</v>
      </c>
      <c r="J22" s="16">
        <v>1</v>
      </c>
      <c r="K22" s="17"/>
      <c r="L22" s="18"/>
      <c r="M22" s="19"/>
      <c r="N22" s="20"/>
      <c r="O22" s="20"/>
      <c r="P22" s="21"/>
      <c r="Q22" s="15"/>
      <c r="R22" s="51" t="str">
        <f t="shared" si="1"/>
        <v>DENTRO DO PRAZO</v>
      </c>
      <c r="S22" s="82"/>
      <c r="T22" s="49" t="s">
        <v>34</v>
      </c>
      <c r="U22" s="83">
        <v>3.125E-2</v>
      </c>
    </row>
    <row r="23" spans="1:21" x14ac:dyDescent="0.2">
      <c r="A23" s="72">
        <v>46204</v>
      </c>
      <c r="B23" s="73">
        <v>89916</v>
      </c>
      <c r="C23" s="74" t="s">
        <v>33</v>
      </c>
      <c r="D23" s="75" t="s">
        <v>25</v>
      </c>
      <c r="E23" s="76">
        <v>46206.616666666698</v>
      </c>
      <c r="F23" s="77">
        <v>46206.7</v>
      </c>
      <c r="G23" s="77">
        <v>46206.631249999999</v>
      </c>
      <c r="H23" s="78" t="s">
        <v>26</v>
      </c>
      <c r="I23" s="16">
        <f t="shared" si="0"/>
        <v>1</v>
      </c>
      <c r="J23" s="16">
        <v>1</v>
      </c>
      <c r="K23" s="17"/>
      <c r="L23" s="18"/>
      <c r="M23" s="19"/>
      <c r="N23" s="20"/>
      <c r="O23" s="20"/>
      <c r="P23" s="21"/>
      <c r="Q23" s="15"/>
      <c r="R23" s="51" t="str">
        <f t="shared" si="1"/>
        <v>DENTRO DO PRAZO</v>
      </c>
      <c r="S23" s="82"/>
      <c r="T23" s="49" t="s">
        <v>34</v>
      </c>
      <c r="U23" s="83">
        <v>1.4583333333333301E-2</v>
      </c>
    </row>
    <row r="24" spans="1:21" x14ac:dyDescent="0.2">
      <c r="A24" s="72">
        <v>46204</v>
      </c>
      <c r="B24" s="73">
        <v>89946</v>
      </c>
      <c r="C24" s="74" t="s">
        <v>38</v>
      </c>
      <c r="D24" s="75" t="s">
        <v>25</v>
      </c>
      <c r="E24" s="76">
        <v>46206.95</v>
      </c>
      <c r="F24" s="77">
        <v>46210.707638888904</v>
      </c>
      <c r="G24" s="77">
        <v>46210.670833333301</v>
      </c>
      <c r="H24" s="78" t="s">
        <v>26</v>
      </c>
      <c r="I24" s="16">
        <f t="shared" si="0"/>
        <v>1</v>
      </c>
      <c r="J24" s="16">
        <v>1</v>
      </c>
      <c r="K24" s="17"/>
      <c r="L24" s="18"/>
      <c r="M24" s="19"/>
      <c r="N24" s="20"/>
      <c r="O24" s="20"/>
      <c r="P24" s="21"/>
      <c r="Q24" s="15"/>
      <c r="R24" s="51" t="str">
        <f t="shared" si="1"/>
        <v>DENTRO DO PRAZO</v>
      </c>
      <c r="S24" s="82"/>
      <c r="T24" s="49" t="s">
        <v>27</v>
      </c>
      <c r="U24" s="83">
        <v>3.7208333333333301</v>
      </c>
    </row>
    <row r="25" spans="1:21" x14ac:dyDescent="0.2">
      <c r="A25" s="72">
        <v>46204</v>
      </c>
      <c r="B25" s="73">
        <v>89948</v>
      </c>
      <c r="C25" s="74" t="s">
        <v>37</v>
      </c>
      <c r="D25" s="75" t="s">
        <v>25</v>
      </c>
      <c r="E25" s="76">
        <v>46207.057638888902</v>
      </c>
      <c r="F25" s="77">
        <v>46209.458333333299</v>
      </c>
      <c r="G25" s="77">
        <v>46207.059027777803</v>
      </c>
      <c r="H25" s="78" t="s">
        <v>26</v>
      </c>
      <c r="I25" s="16">
        <f t="shared" si="0"/>
        <v>1</v>
      </c>
      <c r="J25" s="16">
        <v>1</v>
      </c>
      <c r="K25" s="17"/>
      <c r="L25" s="18"/>
      <c r="M25" s="19"/>
      <c r="N25" s="20"/>
      <c r="O25" s="20"/>
      <c r="P25" s="21"/>
      <c r="Q25" s="15"/>
      <c r="R25" s="51" t="str">
        <f t="shared" si="1"/>
        <v>DENTRO DO PRAZO</v>
      </c>
      <c r="S25" s="82"/>
      <c r="T25" s="49" t="s">
        <v>27</v>
      </c>
      <c r="U25" s="83">
        <v>1.38888888888889E-3</v>
      </c>
    </row>
    <row r="26" spans="1:21" x14ac:dyDescent="0.2">
      <c r="A26" s="72">
        <v>46204</v>
      </c>
      <c r="B26" s="73">
        <v>89949</v>
      </c>
      <c r="C26" s="74" t="s">
        <v>37</v>
      </c>
      <c r="D26" s="75" t="s">
        <v>25</v>
      </c>
      <c r="E26" s="76">
        <v>46207.088194444397</v>
      </c>
      <c r="F26" s="77">
        <v>46209.458333333299</v>
      </c>
      <c r="G26" s="77">
        <v>46207.092361111099</v>
      </c>
      <c r="H26" s="78" t="s">
        <v>26</v>
      </c>
      <c r="I26" s="16">
        <f t="shared" si="0"/>
        <v>1</v>
      </c>
      <c r="J26" s="16">
        <v>1</v>
      </c>
      <c r="K26" s="17"/>
      <c r="L26" s="18"/>
      <c r="M26" s="19"/>
      <c r="N26" s="20"/>
      <c r="O26" s="20"/>
      <c r="P26" s="21"/>
      <c r="Q26" s="15"/>
      <c r="R26" s="51" t="str">
        <f t="shared" si="1"/>
        <v>DENTRO DO PRAZO</v>
      </c>
      <c r="S26" s="82"/>
      <c r="T26" s="49" t="s">
        <v>27</v>
      </c>
      <c r="U26" s="83">
        <v>4.1666666666666701E-3</v>
      </c>
    </row>
    <row r="27" spans="1:21" x14ac:dyDescent="0.2">
      <c r="A27" s="72">
        <v>46204</v>
      </c>
      <c r="B27" s="73">
        <v>89950</v>
      </c>
      <c r="C27" s="74" t="s">
        <v>37</v>
      </c>
      <c r="D27" s="75" t="s">
        <v>25</v>
      </c>
      <c r="E27" s="76">
        <v>46207.142361111102</v>
      </c>
      <c r="F27" s="77">
        <v>46209.458333333299</v>
      </c>
      <c r="G27" s="77">
        <v>46207.143750000003</v>
      </c>
      <c r="H27" s="78" t="s">
        <v>26</v>
      </c>
      <c r="I27" s="16">
        <f t="shared" si="0"/>
        <v>1</v>
      </c>
      <c r="J27" s="16">
        <v>1</v>
      </c>
      <c r="K27" s="17"/>
      <c r="L27" s="18"/>
      <c r="M27" s="19"/>
      <c r="N27" s="20"/>
      <c r="O27" s="20"/>
      <c r="P27" s="21"/>
      <c r="Q27" s="15"/>
      <c r="R27" s="51" t="str">
        <f t="shared" si="1"/>
        <v>DENTRO DO PRAZO</v>
      </c>
      <c r="S27" s="82"/>
      <c r="T27" s="49" t="s">
        <v>27</v>
      </c>
      <c r="U27" s="83">
        <v>1.38888888888889E-3</v>
      </c>
    </row>
    <row r="28" spans="1:21" x14ac:dyDescent="0.2">
      <c r="A28" s="72">
        <v>46204</v>
      </c>
      <c r="B28" s="73">
        <v>89951</v>
      </c>
      <c r="C28" s="74" t="s">
        <v>37</v>
      </c>
      <c r="D28" s="75" t="s">
        <v>25</v>
      </c>
      <c r="E28" s="76">
        <v>46207.147916666698</v>
      </c>
      <c r="F28" s="77">
        <v>46209.458333333299</v>
      </c>
      <c r="G28" s="77">
        <v>46207.149305555598</v>
      </c>
      <c r="H28" s="78" t="s">
        <v>26</v>
      </c>
      <c r="I28" s="16">
        <f t="shared" si="0"/>
        <v>1</v>
      </c>
      <c r="J28" s="16">
        <v>1</v>
      </c>
      <c r="K28" s="17"/>
      <c r="L28" s="18"/>
      <c r="M28" s="19"/>
      <c r="N28" s="20"/>
      <c r="O28" s="20"/>
      <c r="P28" s="21"/>
      <c r="Q28" s="15"/>
      <c r="R28" s="51" t="str">
        <f t="shared" si="1"/>
        <v>DENTRO DO PRAZO</v>
      </c>
      <c r="S28" s="82"/>
      <c r="T28" s="49" t="s">
        <v>27</v>
      </c>
      <c r="U28" s="83">
        <v>1.38888888888889E-3</v>
      </c>
    </row>
    <row r="29" spans="1:21" x14ac:dyDescent="0.2">
      <c r="A29" s="72">
        <v>46204</v>
      </c>
      <c r="B29" s="73">
        <v>89952</v>
      </c>
      <c r="C29" s="74" t="s">
        <v>37</v>
      </c>
      <c r="D29" s="75" t="s">
        <v>25</v>
      </c>
      <c r="E29" s="76">
        <v>46207.166666666701</v>
      </c>
      <c r="F29" s="77">
        <v>46209.458333333299</v>
      </c>
      <c r="G29" s="77">
        <v>46207.168749999997</v>
      </c>
      <c r="H29" s="78" t="s">
        <v>26</v>
      </c>
      <c r="I29" s="16">
        <f t="shared" si="0"/>
        <v>1</v>
      </c>
      <c r="J29" s="16">
        <v>1</v>
      </c>
      <c r="K29" s="17"/>
      <c r="L29" s="18"/>
      <c r="M29" s="19"/>
      <c r="N29" s="20"/>
      <c r="O29" s="20"/>
      <c r="P29" s="21"/>
      <c r="Q29" s="15"/>
      <c r="R29" s="51" t="str">
        <f t="shared" si="1"/>
        <v>DENTRO DO PRAZO</v>
      </c>
      <c r="S29" s="82"/>
      <c r="T29" s="49" t="s">
        <v>27</v>
      </c>
      <c r="U29" s="83">
        <v>2.0833333333333298E-3</v>
      </c>
    </row>
    <row r="30" spans="1:21" x14ac:dyDescent="0.2">
      <c r="A30" s="72">
        <v>46204</v>
      </c>
      <c r="B30" s="73">
        <v>89953</v>
      </c>
      <c r="C30" s="74" t="s">
        <v>37</v>
      </c>
      <c r="D30" s="75" t="s">
        <v>25</v>
      </c>
      <c r="E30" s="76">
        <v>46207.192361111098</v>
      </c>
      <c r="F30" s="77">
        <v>46209.458333333299</v>
      </c>
      <c r="G30" s="77">
        <v>46207.194444444503</v>
      </c>
      <c r="H30" s="78" t="s">
        <v>26</v>
      </c>
      <c r="I30" s="16">
        <f t="shared" si="0"/>
        <v>1</v>
      </c>
      <c r="J30" s="16">
        <v>1</v>
      </c>
      <c r="K30" s="17"/>
      <c r="L30" s="18"/>
      <c r="M30" s="19"/>
      <c r="N30" s="20"/>
      <c r="O30" s="20"/>
      <c r="P30" s="21"/>
      <c r="Q30" s="15"/>
      <c r="R30" s="51" t="str">
        <f t="shared" si="1"/>
        <v>DENTRO DO PRAZO</v>
      </c>
      <c r="S30" s="82"/>
      <c r="T30" s="49" t="s">
        <v>27</v>
      </c>
      <c r="U30" s="83">
        <v>2.0833333333333298E-3</v>
      </c>
    </row>
    <row r="31" spans="1:21" x14ac:dyDescent="0.2">
      <c r="A31" s="72">
        <v>46204</v>
      </c>
      <c r="B31" s="73">
        <v>89954</v>
      </c>
      <c r="C31" s="74" t="s">
        <v>37</v>
      </c>
      <c r="D31" s="75" t="s">
        <v>25</v>
      </c>
      <c r="E31" s="76">
        <v>46207.231249999997</v>
      </c>
      <c r="F31" s="77">
        <v>46209.458333333299</v>
      </c>
      <c r="G31" s="77">
        <v>46207.233333333301</v>
      </c>
      <c r="H31" s="78" t="s">
        <v>26</v>
      </c>
      <c r="I31" s="16">
        <f t="shared" si="0"/>
        <v>1</v>
      </c>
      <c r="J31" s="16">
        <v>1</v>
      </c>
      <c r="K31" s="17"/>
      <c r="L31" s="18"/>
      <c r="M31" s="19"/>
      <c r="N31" s="20"/>
      <c r="O31" s="20"/>
      <c r="P31" s="21"/>
      <c r="Q31" s="15"/>
      <c r="R31" s="51" t="str">
        <f t="shared" si="1"/>
        <v>DENTRO DO PRAZO</v>
      </c>
      <c r="S31" s="82"/>
      <c r="T31" s="49" t="s">
        <v>27</v>
      </c>
      <c r="U31" s="83">
        <v>2.0833333333333298E-3</v>
      </c>
    </row>
    <row r="32" spans="1:21" x14ac:dyDescent="0.2">
      <c r="A32" s="72">
        <v>46204</v>
      </c>
      <c r="B32" s="73">
        <v>89955</v>
      </c>
      <c r="C32" s="74" t="s">
        <v>37</v>
      </c>
      <c r="D32" s="75" t="s">
        <v>25</v>
      </c>
      <c r="E32" s="76">
        <v>46207.250694444498</v>
      </c>
      <c r="F32" s="77">
        <v>46209.458333333299</v>
      </c>
      <c r="G32" s="77">
        <v>46207.252777777801</v>
      </c>
      <c r="H32" s="78" t="s">
        <v>26</v>
      </c>
      <c r="I32" s="16">
        <f t="shared" si="0"/>
        <v>1</v>
      </c>
      <c r="J32" s="16">
        <v>1</v>
      </c>
      <c r="K32" s="17"/>
      <c r="L32" s="18"/>
      <c r="M32" s="19"/>
      <c r="N32" s="20"/>
      <c r="O32" s="20"/>
      <c r="P32" s="21"/>
      <c r="Q32" s="15"/>
      <c r="R32" s="51" t="str">
        <f t="shared" si="1"/>
        <v>DENTRO DO PRAZO</v>
      </c>
      <c r="S32" s="82"/>
      <c r="T32" s="49" t="s">
        <v>27</v>
      </c>
      <c r="U32" s="83">
        <v>2.0833333333333298E-3</v>
      </c>
    </row>
    <row r="33" spans="1:21" x14ac:dyDescent="0.2">
      <c r="A33" s="72">
        <v>46204</v>
      </c>
      <c r="B33" s="73">
        <v>89956</v>
      </c>
      <c r="C33" s="74" t="s">
        <v>37</v>
      </c>
      <c r="D33" s="75" t="s">
        <v>25</v>
      </c>
      <c r="E33" s="76">
        <v>46207.256249999999</v>
      </c>
      <c r="F33" s="77">
        <v>46209.458333333299</v>
      </c>
      <c r="G33" s="77">
        <v>46207.258333333302</v>
      </c>
      <c r="H33" s="78" t="s">
        <v>26</v>
      </c>
      <c r="I33" s="16">
        <f t="shared" si="0"/>
        <v>1</v>
      </c>
      <c r="J33" s="16">
        <v>1</v>
      </c>
      <c r="K33" s="17"/>
      <c r="L33" s="18"/>
      <c r="M33" s="19"/>
      <c r="N33" s="20"/>
      <c r="O33" s="20"/>
      <c r="P33" s="21"/>
      <c r="Q33" s="15"/>
      <c r="R33" s="51" t="str">
        <f t="shared" si="1"/>
        <v>DENTRO DO PRAZO</v>
      </c>
      <c r="S33" s="82"/>
      <c r="T33" s="49" t="s">
        <v>27</v>
      </c>
      <c r="U33" s="83">
        <v>2.0833333333333298E-3</v>
      </c>
    </row>
    <row r="34" spans="1:21" x14ac:dyDescent="0.2">
      <c r="A34" s="72">
        <v>46204</v>
      </c>
      <c r="B34" s="73">
        <v>89957</v>
      </c>
      <c r="C34" s="74" t="s">
        <v>37</v>
      </c>
      <c r="D34" s="75" t="s">
        <v>25</v>
      </c>
      <c r="E34" s="76">
        <v>46207.2590277778</v>
      </c>
      <c r="F34" s="77">
        <v>46209.458333333299</v>
      </c>
      <c r="G34" s="77">
        <v>46207.261111111096</v>
      </c>
      <c r="H34" s="78" t="s">
        <v>26</v>
      </c>
      <c r="I34" s="16">
        <f t="shared" si="0"/>
        <v>1</v>
      </c>
      <c r="J34" s="16">
        <v>1</v>
      </c>
      <c r="K34" s="17"/>
      <c r="L34" s="18"/>
      <c r="M34" s="19"/>
      <c r="N34" s="20"/>
      <c r="O34" s="20"/>
      <c r="P34" s="21"/>
      <c r="Q34" s="15"/>
      <c r="R34" s="51" t="str">
        <f t="shared" si="1"/>
        <v>DENTRO DO PRAZO</v>
      </c>
      <c r="S34" s="82"/>
      <c r="T34" s="49" t="s">
        <v>27</v>
      </c>
      <c r="U34" s="83">
        <v>2.0833333333333298E-3</v>
      </c>
    </row>
    <row r="35" spans="1:21" x14ac:dyDescent="0.2">
      <c r="A35" s="72">
        <v>46204</v>
      </c>
      <c r="B35" s="73">
        <v>89958</v>
      </c>
      <c r="C35" s="74" t="s">
        <v>37</v>
      </c>
      <c r="D35" s="75" t="s">
        <v>25</v>
      </c>
      <c r="E35" s="76">
        <v>46207.288888888899</v>
      </c>
      <c r="F35" s="77">
        <v>46209.458333333299</v>
      </c>
      <c r="G35" s="77">
        <v>46207.290972222203</v>
      </c>
      <c r="H35" s="78" t="s">
        <v>26</v>
      </c>
      <c r="I35" s="16">
        <f t="shared" si="0"/>
        <v>1</v>
      </c>
      <c r="J35" s="16">
        <v>1</v>
      </c>
      <c r="K35" s="17"/>
      <c r="L35" s="18"/>
      <c r="M35" s="19"/>
      <c r="N35" s="20"/>
      <c r="O35" s="20"/>
      <c r="P35" s="21"/>
      <c r="Q35" s="15"/>
      <c r="R35" s="51" t="str">
        <f t="shared" si="1"/>
        <v>DENTRO DO PRAZO</v>
      </c>
      <c r="S35" s="82"/>
      <c r="T35" s="49" t="s">
        <v>27</v>
      </c>
      <c r="U35" s="83">
        <v>2.0833333333333298E-3</v>
      </c>
    </row>
    <row r="36" spans="1:21" x14ac:dyDescent="0.2">
      <c r="A36" s="72">
        <v>46204</v>
      </c>
      <c r="B36" s="73">
        <v>89959</v>
      </c>
      <c r="C36" s="74" t="s">
        <v>37</v>
      </c>
      <c r="D36" s="75" t="s">
        <v>25</v>
      </c>
      <c r="E36" s="76">
        <v>46207.291666666701</v>
      </c>
      <c r="F36" s="77">
        <v>46209.458333333299</v>
      </c>
      <c r="G36" s="77">
        <v>46207.293749999997</v>
      </c>
      <c r="H36" s="78" t="s">
        <v>26</v>
      </c>
      <c r="I36" s="16">
        <f t="shared" si="0"/>
        <v>1</v>
      </c>
      <c r="J36" s="16">
        <v>1</v>
      </c>
      <c r="K36" s="17"/>
      <c r="L36" s="18"/>
      <c r="M36" s="19"/>
      <c r="N36" s="20"/>
      <c r="O36" s="20"/>
      <c r="P36" s="21"/>
      <c r="Q36" s="15"/>
      <c r="R36" s="51" t="str">
        <f t="shared" si="1"/>
        <v>DENTRO DO PRAZO</v>
      </c>
      <c r="S36" s="82"/>
      <c r="T36" s="49" t="s">
        <v>27</v>
      </c>
      <c r="U36" s="83">
        <v>2.0833333333333298E-3</v>
      </c>
    </row>
    <row r="37" spans="1:21" x14ac:dyDescent="0.2">
      <c r="A37" s="72">
        <v>46204</v>
      </c>
      <c r="B37" s="73">
        <v>89960</v>
      </c>
      <c r="C37" s="74" t="s">
        <v>37</v>
      </c>
      <c r="D37" s="75" t="s">
        <v>25</v>
      </c>
      <c r="E37" s="76">
        <v>46207.309027777803</v>
      </c>
      <c r="F37" s="77">
        <v>46209.458333333299</v>
      </c>
      <c r="G37" s="77">
        <v>46207.311111111099</v>
      </c>
      <c r="H37" s="78" t="s">
        <v>26</v>
      </c>
      <c r="I37" s="16">
        <f t="shared" si="0"/>
        <v>1</v>
      </c>
      <c r="J37" s="16">
        <v>1</v>
      </c>
      <c r="K37" s="17"/>
      <c r="L37" s="18"/>
      <c r="M37" s="19"/>
      <c r="N37" s="20"/>
      <c r="O37" s="20"/>
      <c r="P37" s="21"/>
      <c r="Q37" s="15"/>
      <c r="R37" s="51" t="str">
        <f t="shared" si="1"/>
        <v>DENTRO DO PRAZO</v>
      </c>
      <c r="S37" s="82"/>
      <c r="T37" s="49" t="s">
        <v>27</v>
      </c>
      <c r="U37" s="83">
        <v>2.0833333333333298E-3</v>
      </c>
    </row>
    <row r="38" spans="1:21" x14ac:dyDescent="0.2">
      <c r="A38" s="72">
        <v>46204</v>
      </c>
      <c r="B38" s="73">
        <v>89961</v>
      </c>
      <c r="C38" s="74" t="s">
        <v>37</v>
      </c>
      <c r="D38" s="75" t="s">
        <v>25</v>
      </c>
      <c r="E38" s="76">
        <v>46207.311805555597</v>
      </c>
      <c r="F38" s="77">
        <v>46209.458333333299</v>
      </c>
      <c r="G38" s="77">
        <v>46207.313888888901</v>
      </c>
      <c r="H38" s="78" t="s">
        <v>26</v>
      </c>
      <c r="I38" s="16">
        <f t="shared" si="0"/>
        <v>1</v>
      </c>
      <c r="J38" s="16">
        <v>1</v>
      </c>
      <c r="K38" s="17"/>
      <c r="L38" s="18"/>
      <c r="M38" s="19"/>
      <c r="N38" s="20"/>
      <c r="O38" s="20"/>
      <c r="P38" s="21"/>
      <c r="Q38" s="15"/>
      <c r="R38" s="51" t="str">
        <f t="shared" si="1"/>
        <v>DENTRO DO PRAZO</v>
      </c>
      <c r="S38" s="82"/>
      <c r="T38" s="49" t="s">
        <v>27</v>
      </c>
      <c r="U38" s="83">
        <v>2.0833333333333298E-3</v>
      </c>
    </row>
    <row r="39" spans="1:21" x14ac:dyDescent="0.2">
      <c r="A39" s="72">
        <v>46204</v>
      </c>
      <c r="B39" s="73">
        <v>89962</v>
      </c>
      <c r="C39" s="74" t="s">
        <v>37</v>
      </c>
      <c r="D39" s="75" t="s">
        <v>25</v>
      </c>
      <c r="E39" s="76">
        <v>46207.432638888902</v>
      </c>
      <c r="F39" s="77">
        <v>46209.458333333299</v>
      </c>
      <c r="G39" s="77">
        <v>46207.434722222199</v>
      </c>
      <c r="H39" s="78" t="s">
        <v>26</v>
      </c>
      <c r="I39" s="16">
        <f t="shared" si="0"/>
        <v>1</v>
      </c>
      <c r="J39" s="16">
        <v>1</v>
      </c>
      <c r="K39" s="17"/>
      <c r="L39" s="18"/>
      <c r="M39" s="19"/>
      <c r="N39" s="20"/>
      <c r="O39" s="20"/>
      <c r="P39" s="21"/>
      <c r="Q39" s="15"/>
      <c r="R39" s="51" t="str">
        <f t="shared" si="1"/>
        <v>DENTRO DO PRAZO</v>
      </c>
      <c r="S39" s="82"/>
      <c r="T39" s="49" t="s">
        <v>27</v>
      </c>
      <c r="U39" s="83">
        <v>2.0833333333333298E-3</v>
      </c>
    </row>
    <row r="40" spans="1:21" x14ac:dyDescent="0.2">
      <c r="A40" s="72">
        <v>46204</v>
      </c>
      <c r="B40" s="73">
        <v>89963</v>
      </c>
      <c r="C40" s="74" t="s">
        <v>37</v>
      </c>
      <c r="D40" s="75" t="s">
        <v>25</v>
      </c>
      <c r="E40" s="76">
        <v>46207.535416666702</v>
      </c>
      <c r="F40" s="77">
        <v>46209.458333333299</v>
      </c>
      <c r="G40" s="77">
        <v>46207.536805555603</v>
      </c>
      <c r="H40" s="78" t="s">
        <v>26</v>
      </c>
      <c r="I40" s="16">
        <f t="shared" si="0"/>
        <v>1</v>
      </c>
      <c r="J40" s="16">
        <v>1</v>
      </c>
      <c r="K40" s="17"/>
      <c r="L40" s="18"/>
      <c r="M40" s="19"/>
      <c r="N40" s="20"/>
      <c r="O40" s="20"/>
      <c r="P40" s="21"/>
      <c r="Q40" s="15"/>
      <c r="R40" s="51" t="str">
        <f t="shared" si="1"/>
        <v>DENTRO DO PRAZO</v>
      </c>
      <c r="S40" s="82"/>
      <c r="T40" s="49" t="s">
        <v>27</v>
      </c>
      <c r="U40" s="83">
        <v>1.38888888888889E-3</v>
      </c>
    </row>
    <row r="41" spans="1:21" x14ac:dyDescent="0.2">
      <c r="A41" s="72">
        <v>46204</v>
      </c>
      <c r="B41" s="73">
        <v>89964</v>
      </c>
      <c r="C41" s="74" t="s">
        <v>37</v>
      </c>
      <c r="D41" s="75" t="s">
        <v>25</v>
      </c>
      <c r="E41" s="76">
        <v>46207.537499999999</v>
      </c>
      <c r="F41" s="77">
        <v>46209.458333333299</v>
      </c>
      <c r="G41" s="77">
        <v>46207.539583333302</v>
      </c>
      <c r="H41" s="78" t="s">
        <v>26</v>
      </c>
      <c r="I41" s="16">
        <f t="shared" si="0"/>
        <v>1</v>
      </c>
      <c r="J41" s="16">
        <v>1</v>
      </c>
      <c r="K41" s="17"/>
      <c r="L41" s="18"/>
      <c r="M41" s="19"/>
      <c r="N41" s="20"/>
      <c r="O41" s="20"/>
      <c r="P41" s="21"/>
      <c r="Q41" s="15"/>
      <c r="R41" s="51" t="str">
        <f t="shared" si="1"/>
        <v>DENTRO DO PRAZO</v>
      </c>
      <c r="S41" s="82"/>
      <c r="T41" s="49" t="s">
        <v>27</v>
      </c>
      <c r="U41" s="83">
        <v>2.0833333333333298E-3</v>
      </c>
    </row>
    <row r="42" spans="1:21" x14ac:dyDescent="0.2">
      <c r="A42" s="72">
        <v>46204</v>
      </c>
      <c r="B42" s="73">
        <v>89965</v>
      </c>
      <c r="C42" s="74" t="s">
        <v>37</v>
      </c>
      <c r="D42" s="75" t="s">
        <v>25</v>
      </c>
      <c r="E42" s="76">
        <v>46207.543055555601</v>
      </c>
      <c r="F42" s="77">
        <v>46209.458333333299</v>
      </c>
      <c r="G42" s="77">
        <v>46207.545138888898</v>
      </c>
      <c r="H42" s="78" t="s">
        <v>26</v>
      </c>
      <c r="I42" s="16">
        <f t="shared" si="0"/>
        <v>1</v>
      </c>
      <c r="J42" s="16">
        <v>1</v>
      </c>
      <c r="K42" s="17"/>
      <c r="L42" s="18"/>
      <c r="M42" s="19"/>
      <c r="N42" s="20"/>
      <c r="O42" s="20"/>
      <c r="P42" s="21"/>
      <c r="Q42" s="15"/>
      <c r="R42" s="51" t="str">
        <f t="shared" si="1"/>
        <v>DENTRO DO PRAZO</v>
      </c>
      <c r="S42" s="82"/>
      <c r="T42" s="49" t="s">
        <v>27</v>
      </c>
      <c r="U42" s="83">
        <v>2.0833333333333298E-3</v>
      </c>
    </row>
    <row r="43" spans="1:21" x14ac:dyDescent="0.2">
      <c r="A43" s="72">
        <v>46204</v>
      </c>
      <c r="B43" s="73">
        <v>89966</v>
      </c>
      <c r="C43" s="74" t="s">
        <v>37</v>
      </c>
      <c r="D43" s="75" t="s">
        <v>25</v>
      </c>
      <c r="E43" s="76">
        <v>46207.560416666704</v>
      </c>
      <c r="F43" s="77">
        <v>46209.458333333299</v>
      </c>
      <c r="G43" s="77">
        <v>46207.5625</v>
      </c>
      <c r="H43" s="78" t="s">
        <v>26</v>
      </c>
      <c r="I43" s="16">
        <f t="shared" si="0"/>
        <v>1</v>
      </c>
      <c r="J43" s="16">
        <v>1</v>
      </c>
      <c r="K43" s="17"/>
      <c r="L43" s="18"/>
      <c r="M43" s="19"/>
      <c r="N43" s="20"/>
      <c r="O43" s="20"/>
      <c r="P43" s="21"/>
      <c r="Q43" s="15"/>
      <c r="R43" s="51" t="str">
        <f t="shared" si="1"/>
        <v>DENTRO DO PRAZO</v>
      </c>
      <c r="S43" s="82"/>
      <c r="T43" s="49" t="s">
        <v>27</v>
      </c>
      <c r="U43" s="83">
        <v>2.0833333333333298E-3</v>
      </c>
    </row>
    <row r="44" spans="1:21" x14ac:dyDescent="0.2">
      <c r="A44" s="72">
        <v>46204</v>
      </c>
      <c r="B44" s="73">
        <v>89967</v>
      </c>
      <c r="C44" s="74" t="s">
        <v>37</v>
      </c>
      <c r="D44" s="75" t="s">
        <v>25</v>
      </c>
      <c r="E44" s="76">
        <v>46207.681944444397</v>
      </c>
      <c r="F44" s="77">
        <v>46209.458333333299</v>
      </c>
      <c r="G44" s="77">
        <v>46209.387499999997</v>
      </c>
      <c r="H44" s="78" t="s">
        <v>26</v>
      </c>
      <c r="I44" s="16">
        <f t="shared" si="0"/>
        <v>1</v>
      </c>
      <c r="J44" s="16">
        <v>1</v>
      </c>
      <c r="K44" s="17"/>
      <c r="L44" s="18"/>
      <c r="M44" s="19"/>
      <c r="N44" s="20"/>
      <c r="O44" s="20"/>
      <c r="P44" s="21"/>
      <c r="Q44" s="15"/>
      <c r="R44" s="51" t="str">
        <f t="shared" si="1"/>
        <v>DENTRO DO PRAZO</v>
      </c>
      <c r="S44" s="82"/>
      <c r="T44" s="49" t="s">
        <v>27</v>
      </c>
      <c r="U44" s="83">
        <v>1.7055555555555599</v>
      </c>
    </row>
    <row r="45" spans="1:21" x14ac:dyDescent="0.2">
      <c r="A45" s="72">
        <v>46204</v>
      </c>
      <c r="B45" s="73">
        <v>89968</v>
      </c>
      <c r="C45" s="74" t="s">
        <v>37</v>
      </c>
      <c r="D45" s="75" t="s">
        <v>25</v>
      </c>
      <c r="E45" s="76">
        <v>46207.682638888902</v>
      </c>
      <c r="F45" s="77">
        <v>46209.458333333299</v>
      </c>
      <c r="G45" s="77">
        <v>46209.386805555601</v>
      </c>
      <c r="H45" s="78" t="s">
        <v>26</v>
      </c>
      <c r="I45" s="16">
        <f t="shared" si="0"/>
        <v>1</v>
      </c>
      <c r="J45" s="16">
        <v>1</v>
      </c>
      <c r="K45" s="17"/>
      <c r="L45" s="18"/>
      <c r="M45" s="19"/>
      <c r="N45" s="20"/>
      <c r="O45" s="20"/>
      <c r="P45" s="21"/>
      <c r="Q45" s="15"/>
      <c r="R45" s="51" t="str">
        <f t="shared" si="1"/>
        <v>DENTRO DO PRAZO</v>
      </c>
      <c r="S45" s="82"/>
      <c r="T45" s="49" t="s">
        <v>27</v>
      </c>
      <c r="U45" s="83">
        <v>1.7041666666666699</v>
      </c>
    </row>
    <row r="46" spans="1:21" x14ac:dyDescent="0.2">
      <c r="A46" s="72">
        <v>46204</v>
      </c>
      <c r="B46" s="73">
        <v>89969</v>
      </c>
      <c r="C46" s="74" t="s">
        <v>37</v>
      </c>
      <c r="D46" s="75" t="s">
        <v>25</v>
      </c>
      <c r="E46" s="76">
        <v>46207.682638888902</v>
      </c>
      <c r="F46" s="77">
        <v>46209.458333333299</v>
      </c>
      <c r="G46" s="77">
        <v>46207.684722222199</v>
      </c>
      <c r="H46" s="78" t="s">
        <v>26</v>
      </c>
      <c r="I46" s="16">
        <f t="shared" si="0"/>
        <v>1</v>
      </c>
      <c r="J46" s="16">
        <v>1</v>
      </c>
      <c r="K46" s="17"/>
      <c r="L46" s="18"/>
      <c r="M46" s="19"/>
      <c r="N46" s="20"/>
      <c r="O46" s="20"/>
      <c r="P46" s="21"/>
      <c r="Q46" s="15"/>
      <c r="R46" s="51" t="str">
        <f t="shared" si="1"/>
        <v>DENTRO DO PRAZO</v>
      </c>
      <c r="S46" s="82"/>
      <c r="T46" s="49" t="s">
        <v>27</v>
      </c>
      <c r="U46" s="83">
        <v>2.0833333333333298E-3</v>
      </c>
    </row>
    <row r="47" spans="1:21" x14ac:dyDescent="0.2">
      <c r="A47" s="72">
        <v>46204</v>
      </c>
      <c r="B47" s="73">
        <v>89970</v>
      </c>
      <c r="C47" s="74" t="s">
        <v>37</v>
      </c>
      <c r="D47" s="75" t="s">
        <v>25</v>
      </c>
      <c r="E47" s="76">
        <v>46207.691666666702</v>
      </c>
      <c r="F47" s="77">
        <v>46209.458333333299</v>
      </c>
      <c r="G47" s="77">
        <v>46209.386111111096</v>
      </c>
      <c r="H47" s="78" t="s">
        <v>26</v>
      </c>
      <c r="I47" s="16">
        <f t="shared" si="0"/>
        <v>1</v>
      </c>
      <c r="J47" s="16">
        <v>1</v>
      </c>
      <c r="K47" s="17"/>
      <c r="L47" s="18"/>
      <c r="M47" s="19"/>
      <c r="N47" s="20"/>
      <c r="O47" s="20"/>
      <c r="P47" s="21"/>
      <c r="Q47" s="15"/>
      <c r="R47" s="51" t="str">
        <f t="shared" si="1"/>
        <v>DENTRO DO PRAZO</v>
      </c>
      <c r="S47" s="82"/>
      <c r="T47" s="49" t="s">
        <v>27</v>
      </c>
      <c r="U47" s="83">
        <v>1.69444444444444</v>
      </c>
    </row>
    <row r="48" spans="1:21" x14ac:dyDescent="0.2">
      <c r="A48" s="72">
        <v>46204</v>
      </c>
      <c r="B48" s="73">
        <v>89971</v>
      </c>
      <c r="C48" s="74" t="s">
        <v>37</v>
      </c>
      <c r="D48" s="75" t="s">
        <v>25</v>
      </c>
      <c r="E48" s="76">
        <v>46207.813194444498</v>
      </c>
      <c r="F48" s="77">
        <v>46209.458333333299</v>
      </c>
      <c r="G48" s="77">
        <v>46207.815277777801</v>
      </c>
      <c r="H48" s="78" t="s">
        <v>26</v>
      </c>
      <c r="I48" s="16">
        <f t="shared" si="0"/>
        <v>1</v>
      </c>
      <c r="J48" s="16">
        <v>1</v>
      </c>
      <c r="K48" s="17"/>
      <c r="L48" s="18"/>
      <c r="M48" s="19"/>
      <c r="N48" s="20"/>
      <c r="O48" s="20"/>
      <c r="P48" s="21"/>
      <c r="Q48" s="15"/>
      <c r="R48" s="51" t="str">
        <f t="shared" si="1"/>
        <v>DENTRO DO PRAZO</v>
      </c>
      <c r="S48" s="82"/>
      <c r="T48" s="49" t="s">
        <v>27</v>
      </c>
      <c r="U48" s="83">
        <v>2.0833333333333298E-3</v>
      </c>
    </row>
    <row r="49" spans="1:21" x14ac:dyDescent="0.2">
      <c r="A49" s="72">
        <v>46204</v>
      </c>
      <c r="B49" s="73">
        <v>89972</v>
      </c>
      <c r="C49" s="74" t="s">
        <v>37</v>
      </c>
      <c r="D49" s="75" t="s">
        <v>25</v>
      </c>
      <c r="E49" s="76">
        <v>46207.970138888901</v>
      </c>
      <c r="F49" s="77">
        <v>46209.458333333299</v>
      </c>
      <c r="G49" s="77">
        <v>46207.972222222197</v>
      </c>
      <c r="H49" s="78" t="s">
        <v>26</v>
      </c>
      <c r="I49" s="16">
        <f t="shared" si="0"/>
        <v>1</v>
      </c>
      <c r="J49" s="16">
        <v>1</v>
      </c>
      <c r="K49" s="17"/>
      <c r="L49" s="18"/>
      <c r="M49" s="19"/>
      <c r="N49" s="20"/>
      <c r="O49" s="20"/>
      <c r="P49" s="21"/>
      <c r="Q49" s="15"/>
      <c r="R49" s="51" t="str">
        <f t="shared" si="1"/>
        <v>DENTRO DO PRAZO</v>
      </c>
      <c r="S49" s="82"/>
      <c r="T49" s="49" t="s">
        <v>27</v>
      </c>
      <c r="U49" s="83">
        <v>2.0833333333333298E-3</v>
      </c>
    </row>
    <row r="50" spans="1:21" x14ac:dyDescent="0.2">
      <c r="A50" s="72">
        <v>46204</v>
      </c>
      <c r="B50" s="73">
        <v>89973</v>
      </c>
      <c r="C50" s="74" t="s">
        <v>37</v>
      </c>
      <c r="D50" s="75" t="s">
        <v>25</v>
      </c>
      <c r="E50" s="76">
        <v>46208.011111111096</v>
      </c>
      <c r="F50" s="77">
        <v>46209.458333333299</v>
      </c>
      <c r="G50" s="77">
        <v>46208.0131944444</v>
      </c>
      <c r="H50" s="78" t="s">
        <v>26</v>
      </c>
      <c r="I50" s="16">
        <f t="shared" si="0"/>
        <v>1</v>
      </c>
      <c r="J50" s="16">
        <v>1</v>
      </c>
      <c r="K50" s="17"/>
      <c r="L50" s="18"/>
      <c r="M50" s="19"/>
      <c r="N50" s="20"/>
      <c r="O50" s="20"/>
      <c r="P50" s="21"/>
      <c r="Q50" s="15"/>
      <c r="R50" s="51" t="str">
        <f t="shared" si="1"/>
        <v>DENTRO DO PRAZO</v>
      </c>
      <c r="S50" s="82"/>
      <c r="T50" s="49" t="s">
        <v>27</v>
      </c>
      <c r="U50" s="83">
        <v>2.0833333333333298E-3</v>
      </c>
    </row>
    <row r="51" spans="1:21" x14ac:dyDescent="0.2">
      <c r="A51" s="72">
        <v>46204</v>
      </c>
      <c r="B51" s="73">
        <v>89974</v>
      </c>
      <c r="C51" s="74" t="s">
        <v>37</v>
      </c>
      <c r="D51" s="75" t="s">
        <v>25</v>
      </c>
      <c r="E51" s="76">
        <v>46208.0222222222</v>
      </c>
      <c r="F51" s="77">
        <v>46209.458333333299</v>
      </c>
      <c r="G51" s="77">
        <v>46208.024305555598</v>
      </c>
      <c r="H51" s="78" t="s">
        <v>26</v>
      </c>
      <c r="I51" s="16">
        <f t="shared" si="0"/>
        <v>1</v>
      </c>
      <c r="J51" s="16">
        <v>1</v>
      </c>
      <c r="K51" s="17"/>
      <c r="L51" s="18"/>
      <c r="M51" s="19"/>
      <c r="N51" s="20"/>
      <c r="O51" s="20"/>
      <c r="P51" s="21"/>
      <c r="Q51" s="15"/>
      <c r="R51" s="51" t="str">
        <f t="shared" si="1"/>
        <v>DENTRO DO PRAZO</v>
      </c>
      <c r="S51" s="82"/>
      <c r="T51" s="49" t="s">
        <v>27</v>
      </c>
      <c r="U51" s="83">
        <v>2.0833333333333298E-3</v>
      </c>
    </row>
    <row r="52" spans="1:21" x14ac:dyDescent="0.2">
      <c r="A52" s="72">
        <v>46204</v>
      </c>
      <c r="B52" s="73">
        <v>89975</v>
      </c>
      <c r="C52" s="74" t="s">
        <v>37</v>
      </c>
      <c r="D52" s="75" t="s">
        <v>25</v>
      </c>
      <c r="E52" s="76">
        <v>46208.036111111098</v>
      </c>
      <c r="F52" s="77">
        <v>46209.458333333299</v>
      </c>
      <c r="G52" s="77">
        <v>46208.038194444503</v>
      </c>
      <c r="H52" s="78" t="s">
        <v>26</v>
      </c>
      <c r="I52" s="16">
        <f t="shared" si="0"/>
        <v>1</v>
      </c>
      <c r="J52" s="16">
        <v>1</v>
      </c>
      <c r="K52" s="17"/>
      <c r="L52" s="18"/>
      <c r="M52" s="19"/>
      <c r="N52" s="20"/>
      <c r="O52" s="20"/>
      <c r="P52" s="21"/>
      <c r="Q52" s="15"/>
      <c r="R52" s="51" t="str">
        <f t="shared" si="1"/>
        <v>DENTRO DO PRAZO</v>
      </c>
      <c r="S52" s="82"/>
      <c r="T52" s="49" t="s">
        <v>27</v>
      </c>
      <c r="U52" s="83">
        <v>2.0833333333333298E-3</v>
      </c>
    </row>
    <row r="53" spans="1:21" x14ac:dyDescent="0.2">
      <c r="A53" s="72">
        <v>46204</v>
      </c>
      <c r="B53" s="73">
        <v>89976</v>
      </c>
      <c r="C53" s="74" t="s">
        <v>37</v>
      </c>
      <c r="D53" s="75" t="s">
        <v>25</v>
      </c>
      <c r="E53" s="76">
        <v>46208.061805555597</v>
      </c>
      <c r="F53" s="77">
        <v>46209.458333333299</v>
      </c>
      <c r="G53" s="77">
        <v>46208.063888888901</v>
      </c>
      <c r="H53" s="78" t="s">
        <v>26</v>
      </c>
      <c r="I53" s="16">
        <f t="shared" si="0"/>
        <v>1</v>
      </c>
      <c r="J53" s="16">
        <v>1</v>
      </c>
      <c r="K53" s="17"/>
      <c r="L53" s="18"/>
      <c r="M53" s="19"/>
      <c r="N53" s="20"/>
      <c r="O53" s="20"/>
      <c r="P53" s="21"/>
      <c r="Q53" s="15"/>
      <c r="R53" s="51" t="str">
        <f t="shared" si="1"/>
        <v>DENTRO DO PRAZO</v>
      </c>
      <c r="S53" s="82"/>
      <c r="T53" s="49" t="s">
        <v>27</v>
      </c>
      <c r="U53" s="83">
        <v>2.0833333333333298E-3</v>
      </c>
    </row>
    <row r="54" spans="1:21" x14ac:dyDescent="0.2">
      <c r="A54" s="72">
        <v>46204</v>
      </c>
      <c r="B54" s="73">
        <v>89977</v>
      </c>
      <c r="C54" s="74" t="s">
        <v>37</v>
      </c>
      <c r="D54" s="75" t="s">
        <v>25</v>
      </c>
      <c r="E54" s="76">
        <v>46208.1027777778</v>
      </c>
      <c r="F54" s="77">
        <v>46209.458333333299</v>
      </c>
      <c r="G54" s="77">
        <v>46208.104861111096</v>
      </c>
      <c r="H54" s="78" t="s">
        <v>26</v>
      </c>
      <c r="I54" s="16">
        <f t="shared" si="0"/>
        <v>1</v>
      </c>
      <c r="J54" s="16">
        <v>1</v>
      </c>
      <c r="K54" s="17"/>
      <c r="L54" s="18"/>
      <c r="M54" s="19"/>
      <c r="N54" s="20"/>
      <c r="O54" s="20"/>
      <c r="P54" s="21"/>
      <c r="Q54" s="15"/>
      <c r="R54" s="51" t="str">
        <f t="shared" si="1"/>
        <v>DENTRO DO PRAZO</v>
      </c>
      <c r="S54" s="82"/>
      <c r="T54" s="49" t="s">
        <v>27</v>
      </c>
      <c r="U54" s="83">
        <v>2.0833333333333298E-3</v>
      </c>
    </row>
    <row r="55" spans="1:21" x14ac:dyDescent="0.2">
      <c r="A55" s="72">
        <v>46204</v>
      </c>
      <c r="B55" s="73">
        <v>89978</v>
      </c>
      <c r="C55" s="74" t="s">
        <v>37</v>
      </c>
      <c r="D55" s="75" t="s">
        <v>25</v>
      </c>
      <c r="E55" s="76">
        <v>46208.113888888904</v>
      </c>
      <c r="F55" s="77">
        <v>46209.458333333299</v>
      </c>
      <c r="G55" s="77">
        <v>46208.1159722222</v>
      </c>
      <c r="H55" s="78" t="s">
        <v>26</v>
      </c>
      <c r="I55" s="16">
        <f t="shared" si="0"/>
        <v>1</v>
      </c>
      <c r="J55" s="16">
        <v>1</v>
      </c>
      <c r="K55" s="17"/>
      <c r="L55" s="18"/>
      <c r="M55" s="19"/>
      <c r="N55" s="20"/>
      <c r="O55" s="20"/>
      <c r="P55" s="21"/>
      <c r="Q55" s="15"/>
      <c r="R55" s="51" t="str">
        <f t="shared" si="1"/>
        <v>DENTRO DO PRAZO</v>
      </c>
      <c r="S55" s="82"/>
      <c r="T55" s="49" t="s">
        <v>27</v>
      </c>
      <c r="U55" s="83">
        <v>2.0833333333333298E-3</v>
      </c>
    </row>
    <row r="56" spans="1:21" x14ac:dyDescent="0.2">
      <c r="A56" s="72">
        <v>46204</v>
      </c>
      <c r="B56" s="73">
        <v>89979</v>
      </c>
      <c r="C56" s="74" t="s">
        <v>37</v>
      </c>
      <c r="D56" s="75" t="s">
        <v>25</v>
      </c>
      <c r="E56" s="76">
        <v>46208.232638888898</v>
      </c>
      <c r="F56" s="77">
        <v>46209.458333333299</v>
      </c>
      <c r="G56" s="77">
        <v>46208.234722222202</v>
      </c>
      <c r="H56" s="78" t="s">
        <v>26</v>
      </c>
      <c r="I56" s="16">
        <f t="shared" si="0"/>
        <v>1</v>
      </c>
      <c r="J56" s="16">
        <v>1</v>
      </c>
      <c r="K56" s="17"/>
      <c r="L56" s="18"/>
      <c r="M56" s="19"/>
      <c r="N56" s="20"/>
      <c r="O56" s="20"/>
      <c r="P56" s="21"/>
      <c r="Q56" s="15"/>
      <c r="R56" s="51" t="str">
        <f t="shared" si="1"/>
        <v>DENTRO DO PRAZO</v>
      </c>
      <c r="S56" s="82"/>
      <c r="T56" s="49" t="s">
        <v>27</v>
      </c>
      <c r="U56" s="83">
        <v>2.0833333333333298E-3</v>
      </c>
    </row>
    <row r="57" spans="1:21" x14ac:dyDescent="0.2">
      <c r="A57" s="72">
        <v>46204</v>
      </c>
      <c r="B57" s="73">
        <v>89980</v>
      </c>
      <c r="C57" s="74" t="s">
        <v>37</v>
      </c>
      <c r="D57" s="75" t="s">
        <v>25</v>
      </c>
      <c r="E57" s="76">
        <v>46208.254861111098</v>
      </c>
      <c r="F57" s="77">
        <v>46209.458333333299</v>
      </c>
      <c r="G57" s="77">
        <v>46208.256944444503</v>
      </c>
      <c r="H57" s="78" t="s">
        <v>26</v>
      </c>
      <c r="I57" s="16">
        <f t="shared" si="0"/>
        <v>1</v>
      </c>
      <c r="J57" s="16">
        <v>1</v>
      </c>
      <c r="K57" s="17"/>
      <c r="L57" s="18"/>
      <c r="M57" s="19"/>
      <c r="N57" s="20"/>
      <c r="O57" s="20"/>
      <c r="P57" s="21"/>
      <c r="Q57" s="15"/>
      <c r="R57" s="51" t="str">
        <f t="shared" si="1"/>
        <v>DENTRO DO PRAZO</v>
      </c>
      <c r="S57" s="82"/>
      <c r="T57" s="49" t="s">
        <v>27</v>
      </c>
      <c r="U57" s="83">
        <v>2.0833333333333298E-3</v>
      </c>
    </row>
    <row r="58" spans="1:21" x14ac:dyDescent="0.2">
      <c r="A58" s="72">
        <v>46204</v>
      </c>
      <c r="B58" s="73">
        <v>89981</v>
      </c>
      <c r="C58" s="74" t="s">
        <v>37</v>
      </c>
      <c r="D58" s="75" t="s">
        <v>25</v>
      </c>
      <c r="E58" s="76">
        <v>46208.279861111099</v>
      </c>
      <c r="F58" s="77">
        <v>46209.458333333299</v>
      </c>
      <c r="G58" s="77">
        <v>46208.281944444498</v>
      </c>
      <c r="H58" s="78" t="s">
        <v>26</v>
      </c>
      <c r="I58" s="16">
        <f t="shared" si="0"/>
        <v>1</v>
      </c>
      <c r="J58" s="16">
        <v>1</v>
      </c>
      <c r="K58" s="17"/>
      <c r="L58" s="18"/>
      <c r="M58" s="19"/>
      <c r="N58" s="20"/>
      <c r="O58" s="20"/>
      <c r="P58" s="21"/>
      <c r="Q58" s="15"/>
      <c r="R58" s="51" t="str">
        <f t="shared" si="1"/>
        <v>DENTRO DO PRAZO</v>
      </c>
      <c r="S58" s="82"/>
      <c r="T58" s="49" t="s">
        <v>27</v>
      </c>
      <c r="U58" s="83">
        <v>2.0833333333333298E-3</v>
      </c>
    </row>
    <row r="59" spans="1:21" x14ac:dyDescent="0.2">
      <c r="A59" s="72">
        <v>46204</v>
      </c>
      <c r="B59" s="73">
        <v>89982</v>
      </c>
      <c r="C59" s="74" t="s">
        <v>37</v>
      </c>
      <c r="D59" s="75" t="s">
        <v>25</v>
      </c>
      <c r="E59" s="76">
        <v>46208.293055555601</v>
      </c>
      <c r="F59" s="77">
        <v>46209.458333333299</v>
      </c>
      <c r="G59" s="77">
        <v>46208.295138888898</v>
      </c>
      <c r="H59" s="78" t="s">
        <v>26</v>
      </c>
      <c r="I59" s="16">
        <f t="shared" si="0"/>
        <v>1</v>
      </c>
      <c r="J59" s="16">
        <v>1</v>
      </c>
      <c r="K59" s="17"/>
      <c r="L59" s="18"/>
      <c r="M59" s="19"/>
      <c r="N59" s="20"/>
      <c r="O59" s="20"/>
      <c r="P59" s="21"/>
      <c r="Q59" s="15"/>
      <c r="R59" s="51" t="str">
        <f t="shared" si="1"/>
        <v>DENTRO DO PRAZO</v>
      </c>
      <c r="S59" s="82"/>
      <c r="T59" s="49" t="s">
        <v>27</v>
      </c>
      <c r="U59" s="83">
        <v>2.0833333333333298E-3</v>
      </c>
    </row>
    <row r="60" spans="1:21" x14ac:dyDescent="0.2">
      <c r="A60" s="72">
        <v>46204</v>
      </c>
      <c r="B60" s="73">
        <v>89983</v>
      </c>
      <c r="C60" s="74" t="s">
        <v>37</v>
      </c>
      <c r="D60" s="75" t="s">
        <v>25</v>
      </c>
      <c r="E60" s="76">
        <v>46208.295833333301</v>
      </c>
      <c r="F60" s="77">
        <v>46209.458333333299</v>
      </c>
      <c r="G60" s="77">
        <v>46208.297916666699</v>
      </c>
      <c r="H60" s="78" t="s">
        <v>26</v>
      </c>
      <c r="I60" s="16">
        <f t="shared" si="0"/>
        <v>1</v>
      </c>
      <c r="J60" s="16">
        <v>1</v>
      </c>
      <c r="K60" s="17"/>
      <c r="L60" s="18"/>
      <c r="M60" s="19"/>
      <c r="N60" s="20"/>
      <c r="O60" s="20"/>
      <c r="P60" s="21"/>
      <c r="Q60" s="15"/>
      <c r="R60" s="51" t="str">
        <f t="shared" si="1"/>
        <v>DENTRO DO PRAZO</v>
      </c>
      <c r="S60" s="82"/>
      <c r="T60" s="49" t="s">
        <v>27</v>
      </c>
      <c r="U60" s="83">
        <v>2.0833333333333298E-3</v>
      </c>
    </row>
    <row r="61" spans="1:21" x14ac:dyDescent="0.2">
      <c r="A61" s="72">
        <v>46204</v>
      </c>
      <c r="B61" s="73">
        <v>89984</v>
      </c>
      <c r="C61" s="74" t="s">
        <v>37</v>
      </c>
      <c r="D61" s="75" t="s">
        <v>25</v>
      </c>
      <c r="E61" s="76">
        <v>46208.304166666698</v>
      </c>
      <c r="F61" s="77">
        <v>46209.458333333299</v>
      </c>
      <c r="G61" s="77">
        <v>46208.306250000001</v>
      </c>
      <c r="H61" s="78" t="s">
        <v>26</v>
      </c>
      <c r="I61" s="16">
        <f t="shared" si="0"/>
        <v>1</v>
      </c>
      <c r="J61" s="16">
        <v>1</v>
      </c>
      <c r="K61" s="17"/>
      <c r="L61" s="18"/>
      <c r="M61" s="19"/>
      <c r="N61" s="20"/>
      <c r="O61" s="20"/>
      <c r="P61" s="21"/>
      <c r="Q61" s="15"/>
      <c r="R61" s="51" t="str">
        <f t="shared" si="1"/>
        <v>DENTRO DO PRAZO</v>
      </c>
      <c r="S61" s="82"/>
      <c r="T61" s="49" t="s">
        <v>27</v>
      </c>
      <c r="U61" s="83">
        <v>2.0833333333333298E-3</v>
      </c>
    </row>
    <row r="62" spans="1:21" x14ac:dyDescent="0.2">
      <c r="A62" s="72">
        <v>46204</v>
      </c>
      <c r="B62" s="73">
        <v>89985</v>
      </c>
      <c r="C62" s="74" t="s">
        <v>37</v>
      </c>
      <c r="D62" s="75" t="s">
        <v>25</v>
      </c>
      <c r="E62" s="76">
        <v>46208.377083333296</v>
      </c>
      <c r="F62" s="77">
        <v>46209.458333333299</v>
      </c>
      <c r="G62" s="77">
        <v>46208.379166666702</v>
      </c>
      <c r="H62" s="78" t="s">
        <v>26</v>
      </c>
      <c r="I62" s="16">
        <f t="shared" si="0"/>
        <v>1</v>
      </c>
      <c r="J62" s="16">
        <v>1</v>
      </c>
      <c r="K62" s="17"/>
      <c r="L62" s="18"/>
      <c r="M62" s="19"/>
      <c r="N62" s="20"/>
      <c r="O62" s="20"/>
      <c r="P62" s="21"/>
      <c r="Q62" s="15"/>
      <c r="R62" s="51" t="str">
        <f t="shared" si="1"/>
        <v>DENTRO DO PRAZO</v>
      </c>
      <c r="S62" s="82"/>
      <c r="T62" s="49" t="s">
        <v>27</v>
      </c>
      <c r="U62" s="83">
        <v>2.0833333333333298E-3</v>
      </c>
    </row>
    <row r="63" spans="1:21" x14ac:dyDescent="0.2">
      <c r="A63" s="72">
        <v>46204</v>
      </c>
      <c r="B63" s="73">
        <v>89986</v>
      </c>
      <c r="C63" s="74" t="s">
        <v>37</v>
      </c>
      <c r="D63" s="75" t="s">
        <v>25</v>
      </c>
      <c r="E63" s="76">
        <v>46208.410416666702</v>
      </c>
      <c r="F63" s="77">
        <v>46209.458333333299</v>
      </c>
      <c r="G63" s="77">
        <v>46208.411805555603</v>
      </c>
      <c r="H63" s="78" t="s">
        <v>26</v>
      </c>
      <c r="I63" s="16">
        <f t="shared" si="0"/>
        <v>1</v>
      </c>
      <c r="J63" s="16">
        <v>1</v>
      </c>
      <c r="K63" s="17"/>
      <c r="L63" s="18"/>
      <c r="M63" s="19"/>
      <c r="N63" s="20"/>
      <c r="O63" s="20"/>
      <c r="P63" s="21"/>
      <c r="Q63" s="15"/>
      <c r="R63" s="51" t="str">
        <f t="shared" si="1"/>
        <v>DENTRO DO PRAZO</v>
      </c>
      <c r="S63" s="82"/>
      <c r="T63" s="49" t="s">
        <v>27</v>
      </c>
      <c r="U63" s="83">
        <v>1.38888888888889E-3</v>
      </c>
    </row>
    <row r="64" spans="1:21" x14ac:dyDescent="0.2">
      <c r="A64" s="72">
        <v>46204</v>
      </c>
      <c r="B64" s="73">
        <v>89987</v>
      </c>
      <c r="C64" s="74" t="s">
        <v>37</v>
      </c>
      <c r="D64" s="75" t="s">
        <v>25</v>
      </c>
      <c r="E64" s="76">
        <v>46208.418055555601</v>
      </c>
      <c r="F64" s="77">
        <v>46209.458333333299</v>
      </c>
      <c r="G64" s="77">
        <v>46208.420138888898</v>
      </c>
      <c r="H64" s="78" t="s">
        <v>26</v>
      </c>
      <c r="I64" s="16">
        <f t="shared" si="0"/>
        <v>1</v>
      </c>
      <c r="J64" s="16">
        <v>1</v>
      </c>
      <c r="K64" s="17"/>
      <c r="L64" s="18"/>
      <c r="M64" s="19"/>
      <c r="N64" s="20"/>
      <c r="O64" s="20"/>
      <c r="P64" s="21"/>
      <c r="Q64" s="15"/>
      <c r="R64" s="51" t="str">
        <f t="shared" si="1"/>
        <v>DENTRO DO PRAZO</v>
      </c>
      <c r="S64" s="82"/>
      <c r="T64" s="49" t="s">
        <v>27</v>
      </c>
      <c r="U64" s="83">
        <v>2.0833333333333298E-3</v>
      </c>
    </row>
    <row r="65" spans="1:21" x14ac:dyDescent="0.2">
      <c r="A65" s="72">
        <v>46204</v>
      </c>
      <c r="B65" s="73">
        <v>89988</v>
      </c>
      <c r="C65" s="74" t="s">
        <v>37</v>
      </c>
      <c r="D65" s="75" t="s">
        <v>25</v>
      </c>
      <c r="E65" s="76">
        <v>46208.561111111099</v>
      </c>
      <c r="F65" s="77">
        <v>46209.458333333299</v>
      </c>
      <c r="G65" s="77">
        <v>46208.563194444498</v>
      </c>
      <c r="H65" s="78" t="s">
        <v>26</v>
      </c>
      <c r="I65" s="16">
        <f t="shared" si="0"/>
        <v>1</v>
      </c>
      <c r="J65" s="16">
        <v>1</v>
      </c>
      <c r="K65" s="17"/>
      <c r="L65" s="18"/>
      <c r="M65" s="19"/>
      <c r="N65" s="20"/>
      <c r="O65" s="20"/>
      <c r="P65" s="21"/>
      <c r="Q65" s="15"/>
      <c r="R65" s="51" t="str">
        <f t="shared" si="1"/>
        <v>DENTRO DO PRAZO</v>
      </c>
      <c r="S65" s="82"/>
      <c r="T65" s="49" t="s">
        <v>27</v>
      </c>
      <c r="U65" s="83">
        <v>2.0833333333333298E-3</v>
      </c>
    </row>
    <row r="66" spans="1:21" x14ac:dyDescent="0.2">
      <c r="A66" s="72">
        <v>46204</v>
      </c>
      <c r="B66" s="73">
        <v>89989</v>
      </c>
      <c r="C66" s="74" t="s">
        <v>37</v>
      </c>
      <c r="D66" s="75" t="s">
        <v>25</v>
      </c>
      <c r="E66" s="76">
        <v>46208.6118055556</v>
      </c>
      <c r="F66" s="77">
        <v>46209.458333333299</v>
      </c>
      <c r="G66" s="77">
        <v>46208.613888888904</v>
      </c>
      <c r="H66" s="78" t="s">
        <v>26</v>
      </c>
      <c r="I66" s="16">
        <f t="shared" si="0"/>
        <v>1</v>
      </c>
      <c r="J66" s="16">
        <v>1</v>
      </c>
      <c r="K66" s="17"/>
      <c r="L66" s="18"/>
      <c r="M66" s="19"/>
      <c r="N66" s="20"/>
      <c r="O66" s="20"/>
      <c r="P66" s="21"/>
      <c r="Q66" s="15"/>
      <c r="R66" s="51" t="str">
        <f t="shared" si="1"/>
        <v>DENTRO DO PRAZO</v>
      </c>
      <c r="S66" s="82"/>
      <c r="T66" s="49" t="s">
        <v>27</v>
      </c>
      <c r="U66" s="83">
        <v>2.0833333333333298E-3</v>
      </c>
    </row>
    <row r="67" spans="1:21" x14ac:dyDescent="0.2">
      <c r="A67" s="72">
        <v>46204</v>
      </c>
      <c r="B67" s="73">
        <v>89990</v>
      </c>
      <c r="C67" s="74" t="s">
        <v>37</v>
      </c>
      <c r="D67" s="75" t="s">
        <v>25</v>
      </c>
      <c r="E67" s="76">
        <v>46208.643750000003</v>
      </c>
      <c r="F67" s="77">
        <v>46209.458333333299</v>
      </c>
      <c r="G67" s="77">
        <v>46208.645833333299</v>
      </c>
      <c r="H67" s="78" t="s">
        <v>26</v>
      </c>
      <c r="I67" s="16">
        <f t="shared" si="0"/>
        <v>1</v>
      </c>
      <c r="J67" s="16">
        <v>1</v>
      </c>
      <c r="K67" s="17"/>
      <c r="L67" s="18"/>
      <c r="M67" s="19"/>
      <c r="N67" s="20"/>
      <c r="O67" s="20"/>
      <c r="P67" s="21"/>
      <c r="Q67" s="15"/>
      <c r="R67" s="51" t="str">
        <f t="shared" si="1"/>
        <v>DENTRO DO PRAZO</v>
      </c>
      <c r="S67" s="82"/>
      <c r="T67" s="49" t="s">
        <v>27</v>
      </c>
      <c r="U67" s="83">
        <v>2.0833333333333298E-3</v>
      </c>
    </row>
    <row r="68" spans="1:21" x14ac:dyDescent="0.2">
      <c r="A68" s="72">
        <v>46204</v>
      </c>
      <c r="B68" s="73">
        <v>89992</v>
      </c>
      <c r="C68" s="74" t="s">
        <v>37</v>
      </c>
      <c r="D68" s="75" t="s">
        <v>25</v>
      </c>
      <c r="E68" s="76">
        <v>46208.6784722222</v>
      </c>
      <c r="F68" s="77">
        <v>46209.458333333299</v>
      </c>
      <c r="G68" s="77">
        <v>46208.681250000001</v>
      </c>
      <c r="H68" s="78" t="s">
        <v>26</v>
      </c>
      <c r="I68" s="16">
        <f t="shared" si="0"/>
        <v>1</v>
      </c>
      <c r="J68" s="16">
        <v>1</v>
      </c>
      <c r="K68" s="17"/>
      <c r="L68" s="18"/>
      <c r="M68" s="19"/>
      <c r="N68" s="20"/>
      <c r="O68" s="20"/>
      <c r="P68" s="21"/>
      <c r="Q68" s="15"/>
      <c r="R68" s="51" t="str">
        <f t="shared" si="1"/>
        <v>DENTRO DO PRAZO</v>
      </c>
      <c r="S68" s="82"/>
      <c r="T68" s="49" t="s">
        <v>27</v>
      </c>
      <c r="U68" s="83">
        <v>2.7777777777777801E-3</v>
      </c>
    </row>
    <row r="69" spans="1:21" x14ac:dyDescent="0.2">
      <c r="A69" s="72">
        <v>46204</v>
      </c>
      <c r="B69" s="73">
        <v>89993</v>
      </c>
      <c r="C69" s="74" t="s">
        <v>37</v>
      </c>
      <c r="D69" s="75" t="s">
        <v>25</v>
      </c>
      <c r="E69" s="76">
        <v>46208.7902777778</v>
      </c>
      <c r="F69" s="77">
        <v>46209.458333333299</v>
      </c>
      <c r="G69" s="77">
        <v>46208.792361111096</v>
      </c>
      <c r="H69" s="78" t="s">
        <v>26</v>
      </c>
      <c r="I69" s="16">
        <f t="shared" ref="I69:I132" si="2">IF(H69="S",1,0)</f>
        <v>1</v>
      </c>
      <c r="J69" s="16">
        <v>1</v>
      </c>
      <c r="K69" s="17"/>
      <c r="L69" s="18"/>
      <c r="M69" s="19"/>
      <c r="N69" s="20"/>
      <c r="O69" s="20"/>
      <c r="P69" s="21"/>
      <c r="Q69" s="15"/>
      <c r="R69" s="51" t="str">
        <f t="shared" ref="R69:R132" si="3">IF(H69="S","DENTRO DO PRAZO","FORA DO PRAZO")</f>
        <v>DENTRO DO PRAZO</v>
      </c>
      <c r="S69" s="82"/>
      <c r="T69" s="49" t="s">
        <v>27</v>
      </c>
      <c r="U69" s="83">
        <v>2.0833333333333298E-3</v>
      </c>
    </row>
    <row r="70" spans="1:21" x14ac:dyDescent="0.2">
      <c r="A70" s="72">
        <v>46204</v>
      </c>
      <c r="B70" s="73">
        <v>89994</v>
      </c>
      <c r="C70" s="74" t="s">
        <v>37</v>
      </c>
      <c r="D70" s="75" t="s">
        <v>25</v>
      </c>
      <c r="E70" s="76">
        <v>46208.795833333301</v>
      </c>
      <c r="F70" s="77">
        <v>46209.458333333299</v>
      </c>
      <c r="G70" s="77">
        <v>46208.797916666699</v>
      </c>
      <c r="H70" s="78" t="s">
        <v>26</v>
      </c>
      <c r="I70" s="16">
        <f t="shared" si="2"/>
        <v>1</v>
      </c>
      <c r="J70" s="16">
        <v>1</v>
      </c>
      <c r="K70" s="17"/>
      <c r="L70" s="18"/>
      <c r="M70" s="19"/>
      <c r="N70" s="20"/>
      <c r="O70" s="20"/>
      <c r="P70" s="21"/>
      <c r="Q70" s="15"/>
      <c r="R70" s="51" t="str">
        <f t="shared" si="3"/>
        <v>DENTRO DO PRAZO</v>
      </c>
      <c r="S70" s="82"/>
      <c r="T70" s="49" t="s">
        <v>27</v>
      </c>
      <c r="U70" s="83">
        <v>2.0833333333333298E-3</v>
      </c>
    </row>
    <row r="71" spans="1:21" x14ac:dyDescent="0.2">
      <c r="A71" s="72">
        <v>46204</v>
      </c>
      <c r="B71" s="73">
        <v>89995</v>
      </c>
      <c r="C71" s="74" t="s">
        <v>37</v>
      </c>
      <c r="D71" s="75" t="s">
        <v>25</v>
      </c>
      <c r="E71" s="76">
        <v>46208.806944444397</v>
      </c>
      <c r="F71" s="77">
        <v>46209.458333333299</v>
      </c>
      <c r="G71" s="77">
        <v>46208.809027777803</v>
      </c>
      <c r="H71" s="78" t="s">
        <v>26</v>
      </c>
      <c r="I71" s="16">
        <f t="shared" si="2"/>
        <v>1</v>
      </c>
      <c r="J71" s="16">
        <v>1</v>
      </c>
      <c r="K71" s="17"/>
      <c r="L71" s="18"/>
      <c r="M71" s="19"/>
      <c r="N71" s="20"/>
      <c r="O71" s="20"/>
      <c r="P71" s="21"/>
      <c r="Q71" s="15"/>
      <c r="R71" s="51" t="str">
        <f t="shared" si="3"/>
        <v>DENTRO DO PRAZO</v>
      </c>
      <c r="S71" s="82"/>
      <c r="T71" s="49" t="s">
        <v>27</v>
      </c>
      <c r="U71" s="83">
        <v>2.0833333333333298E-3</v>
      </c>
    </row>
    <row r="72" spans="1:21" x14ac:dyDescent="0.2">
      <c r="A72" s="72">
        <v>46204</v>
      </c>
      <c r="B72" s="73">
        <v>89996</v>
      </c>
      <c r="C72" s="74" t="s">
        <v>37</v>
      </c>
      <c r="D72" s="75" t="s">
        <v>25</v>
      </c>
      <c r="E72" s="76">
        <v>46208.818749999999</v>
      </c>
      <c r="F72" s="77">
        <v>46209.458333333299</v>
      </c>
      <c r="G72" s="77">
        <v>46208.820833333302</v>
      </c>
      <c r="H72" s="78" t="s">
        <v>26</v>
      </c>
      <c r="I72" s="16">
        <f t="shared" si="2"/>
        <v>1</v>
      </c>
      <c r="J72" s="16">
        <v>1</v>
      </c>
      <c r="K72" s="17"/>
      <c r="L72" s="18"/>
      <c r="M72" s="19"/>
      <c r="N72" s="20"/>
      <c r="O72" s="20"/>
      <c r="P72" s="21"/>
      <c r="Q72" s="15"/>
      <c r="R72" s="51" t="str">
        <f t="shared" si="3"/>
        <v>DENTRO DO PRAZO</v>
      </c>
      <c r="S72" s="82"/>
      <c r="T72" s="49" t="s">
        <v>27</v>
      </c>
      <c r="U72" s="83">
        <v>2.0833333333333298E-3</v>
      </c>
    </row>
    <row r="73" spans="1:21" x14ac:dyDescent="0.2">
      <c r="A73" s="72">
        <v>46204</v>
      </c>
      <c r="B73" s="73">
        <v>89997</v>
      </c>
      <c r="C73" s="74" t="s">
        <v>37</v>
      </c>
      <c r="D73" s="75" t="s">
        <v>25</v>
      </c>
      <c r="E73" s="76">
        <v>46208.935416666704</v>
      </c>
      <c r="F73" s="77">
        <v>46209.458333333299</v>
      </c>
      <c r="G73" s="77">
        <v>46208.9375</v>
      </c>
      <c r="H73" s="78" t="s">
        <v>26</v>
      </c>
      <c r="I73" s="16">
        <f t="shared" si="2"/>
        <v>1</v>
      </c>
      <c r="J73" s="16">
        <v>1</v>
      </c>
      <c r="K73" s="17"/>
      <c r="L73" s="18"/>
      <c r="M73" s="19"/>
      <c r="N73" s="20"/>
      <c r="O73" s="20"/>
      <c r="P73" s="21"/>
      <c r="Q73" s="15"/>
      <c r="R73" s="51" t="str">
        <f t="shared" si="3"/>
        <v>DENTRO DO PRAZO</v>
      </c>
      <c r="S73" s="82"/>
      <c r="T73" s="49" t="s">
        <v>27</v>
      </c>
      <c r="U73" s="83">
        <v>2.0833333333333298E-3</v>
      </c>
    </row>
    <row r="74" spans="1:21" x14ac:dyDescent="0.2">
      <c r="A74" s="72">
        <v>46204</v>
      </c>
      <c r="B74" s="73">
        <v>89998</v>
      </c>
      <c r="C74" s="74" t="s">
        <v>37</v>
      </c>
      <c r="D74" s="75" t="s">
        <v>25</v>
      </c>
      <c r="E74" s="76">
        <v>46208.994444444397</v>
      </c>
      <c r="F74" s="77">
        <v>46209.458333333299</v>
      </c>
      <c r="G74" s="77">
        <v>46208.996527777803</v>
      </c>
      <c r="H74" s="78" t="s">
        <v>26</v>
      </c>
      <c r="I74" s="16">
        <f t="shared" si="2"/>
        <v>1</v>
      </c>
      <c r="J74" s="16">
        <v>1</v>
      </c>
      <c r="K74" s="17"/>
      <c r="L74" s="18"/>
      <c r="M74" s="19"/>
      <c r="N74" s="20"/>
      <c r="O74" s="20"/>
      <c r="P74" s="21"/>
      <c r="Q74" s="15"/>
      <c r="R74" s="51" t="str">
        <f t="shared" si="3"/>
        <v>DENTRO DO PRAZO</v>
      </c>
      <c r="S74" s="82"/>
      <c r="T74" s="49" t="s">
        <v>27</v>
      </c>
      <c r="U74" s="83">
        <v>2.0833333333333298E-3</v>
      </c>
    </row>
    <row r="75" spans="1:21" x14ac:dyDescent="0.2">
      <c r="A75" s="72">
        <v>46204</v>
      </c>
      <c r="B75" s="73">
        <v>89999</v>
      </c>
      <c r="C75" s="74" t="s">
        <v>37</v>
      </c>
      <c r="D75" s="75" t="s">
        <v>25</v>
      </c>
      <c r="E75" s="76">
        <v>46209.008333333302</v>
      </c>
      <c r="F75" s="77">
        <v>46209.458333333299</v>
      </c>
      <c r="G75" s="77">
        <v>46209.010416666701</v>
      </c>
      <c r="H75" s="78" t="s">
        <v>26</v>
      </c>
      <c r="I75" s="16">
        <f t="shared" si="2"/>
        <v>1</v>
      </c>
      <c r="J75" s="16">
        <v>1</v>
      </c>
      <c r="K75" s="17"/>
      <c r="L75" s="18"/>
      <c r="M75" s="19"/>
      <c r="N75" s="20"/>
      <c r="O75" s="20"/>
      <c r="P75" s="21"/>
      <c r="Q75" s="15"/>
      <c r="R75" s="51" t="str">
        <f t="shared" si="3"/>
        <v>DENTRO DO PRAZO</v>
      </c>
      <c r="S75" s="82"/>
      <c r="T75" s="49" t="s">
        <v>27</v>
      </c>
      <c r="U75" s="83">
        <v>2.0833333333333298E-3</v>
      </c>
    </row>
    <row r="76" spans="1:21" x14ac:dyDescent="0.2">
      <c r="A76" s="72">
        <v>46204</v>
      </c>
      <c r="B76" s="73">
        <v>90000</v>
      </c>
      <c r="C76" s="74" t="s">
        <v>37</v>
      </c>
      <c r="D76" s="75" t="s">
        <v>25</v>
      </c>
      <c r="E76" s="76">
        <v>46209.019444444399</v>
      </c>
      <c r="F76" s="77">
        <v>46209.458333333299</v>
      </c>
      <c r="G76" s="77">
        <v>46209.021527777797</v>
      </c>
      <c r="H76" s="78" t="s">
        <v>26</v>
      </c>
      <c r="I76" s="16">
        <f t="shared" si="2"/>
        <v>1</v>
      </c>
      <c r="J76" s="16">
        <v>1</v>
      </c>
      <c r="K76" s="17"/>
      <c r="L76" s="18"/>
      <c r="M76" s="19"/>
      <c r="N76" s="20"/>
      <c r="O76" s="20"/>
      <c r="P76" s="21"/>
      <c r="Q76" s="15"/>
      <c r="R76" s="51" t="str">
        <f t="shared" si="3"/>
        <v>DENTRO DO PRAZO</v>
      </c>
      <c r="S76" s="82"/>
      <c r="T76" s="49" t="s">
        <v>27</v>
      </c>
      <c r="U76" s="83">
        <v>2.0833333333333298E-3</v>
      </c>
    </row>
    <row r="77" spans="1:21" x14ac:dyDescent="0.2">
      <c r="A77" s="72">
        <v>46204</v>
      </c>
      <c r="B77" s="73">
        <v>90001</v>
      </c>
      <c r="C77" s="74" t="s">
        <v>37</v>
      </c>
      <c r="D77" s="75" t="s">
        <v>25</v>
      </c>
      <c r="E77" s="76">
        <v>46209.047916666699</v>
      </c>
      <c r="F77" s="77">
        <v>46209.458333333299</v>
      </c>
      <c r="G77" s="77">
        <v>46209.05</v>
      </c>
      <c r="H77" s="78" t="s">
        <v>26</v>
      </c>
      <c r="I77" s="16">
        <f t="shared" si="2"/>
        <v>1</v>
      </c>
      <c r="J77" s="16">
        <v>1</v>
      </c>
      <c r="K77" s="17"/>
      <c r="L77" s="18"/>
      <c r="M77" s="19"/>
      <c r="N77" s="20"/>
      <c r="O77" s="20"/>
      <c r="P77" s="21"/>
      <c r="Q77" s="15"/>
      <c r="R77" s="51" t="str">
        <f t="shared" si="3"/>
        <v>DENTRO DO PRAZO</v>
      </c>
      <c r="S77" s="82"/>
      <c r="T77" s="49" t="s">
        <v>27</v>
      </c>
      <c r="U77" s="83">
        <v>2.0833333333333298E-3</v>
      </c>
    </row>
    <row r="78" spans="1:21" x14ac:dyDescent="0.2">
      <c r="A78" s="72">
        <v>46204</v>
      </c>
      <c r="B78" s="73">
        <v>90002</v>
      </c>
      <c r="C78" s="74" t="s">
        <v>37</v>
      </c>
      <c r="D78" s="75" t="s">
        <v>25</v>
      </c>
      <c r="E78" s="76">
        <v>46209.050694444399</v>
      </c>
      <c r="F78" s="77">
        <v>46209.458333333299</v>
      </c>
      <c r="G78" s="77">
        <v>46209.052777777797</v>
      </c>
      <c r="H78" s="78" t="s">
        <v>26</v>
      </c>
      <c r="I78" s="16">
        <f t="shared" si="2"/>
        <v>1</v>
      </c>
      <c r="J78" s="16">
        <v>1</v>
      </c>
      <c r="K78" s="17"/>
      <c r="L78" s="18"/>
      <c r="M78" s="19"/>
      <c r="N78" s="20"/>
      <c r="O78" s="20"/>
      <c r="P78" s="21"/>
      <c r="Q78" s="15"/>
      <c r="R78" s="51" t="str">
        <f t="shared" si="3"/>
        <v>DENTRO DO PRAZO</v>
      </c>
      <c r="S78" s="82"/>
      <c r="T78" s="49" t="s">
        <v>27</v>
      </c>
      <c r="U78" s="83">
        <v>2.0833333333333298E-3</v>
      </c>
    </row>
    <row r="79" spans="1:21" x14ac:dyDescent="0.2">
      <c r="A79" s="72">
        <v>46204</v>
      </c>
      <c r="B79" s="73">
        <v>90003</v>
      </c>
      <c r="C79" s="74" t="s">
        <v>37</v>
      </c>
      <c r="D79" s="75" t="s">
        <v>25</v>
      </c>
      <c r="E79" s="76">
        <v>46209.061805555597</v>
      </c>
      <c r="F79" s="77">
        <v>46209.458333333299</v>
      </c>
      <c r="G79" s="77">
        <v>46209.063888888901</v>
      </c>
      <c r="H79" s="78" t="s">
        <v>26</v>
      </c>
      <c r="I79" s="16">
        <f t="shared" si="2"/>
        <v>1</v>
      </c>
      <c r="J79" s="16">
        <v>1</v>
      </c>
      <c r="K79" s="17"/>
      <c r="L79" s="18"/>
      <c r="M79" s="19"/>
      <c r="N79" s="20"/>
      <c r="O79" s="20"/>
      <c r="P79" s="21"/>
      <c r="Q79" s="15"/>
      <c r="R79" s="51" t="str">
        <f t="shared" si="3"/>
        <v>DENTRO DO PRAZO</v>
      </c>
      <c r="S79" s="82"/>
      <c r="T79" s="49" t="s">
        <v>27</v>
      </c>
      <c r="U79" s="83">
        <v>2.0833333333333298E-3</v>
      </c>
    </row>
    <row r="80" spans="1:21" x14ac:dyDescent="0.2">
      <c r="A80" s="72">
        <v>46204</v>
      </c>
      <c r="B80" s="73">
        <v>90004</v>
      </c>
      <c r="C80" s="74" t="s">
        <v>37</v>
      </c>
      <c r="D80" s="75" t="s">
        <v>25</v>
      </c>
      <c r="E80" s="76">
        <v>46209.064583333296</v>
      </c>
      <c r="F80" s="77">
        <v>46209.458333333299</v>
      </c>
      <c r="G80" s="77">
        <v>46209.066666666702</v>
      </c>
      <c r="H80" s="78" t="s">
        <v>26</v>
      </c>
      <c r="I80" s="16">
        <f t="shared" si="2"/>
        <v>1</v>
      </c>
      <c r="J80" s="16">
        <v>1</v>
      </c>
      <c r="K80" s="17"/>
      <c r="L80" s="18"/>
      <c r="M80" s="19"/>
      <c r="N80" s="20"/>
      <c r="O80" s="20"/>
      <c r="P80" s="21"/>
      <c r="Q80" s="15"/>
      <c r="R80" s="51" t="str">
        <f t="shared" si="3"/>
        <v>DENTRO DO PRAZO</v>
      </c>
      <c r="S80" s="82"/>
      <c r="T80" s="49" t="s">
        <v>27</v>
      </c>
      <c r="U80" s="83">
        <v>2.0833333333333298E-3</v>
      </c>
    </row>
    <row r="81" spans="1:21" x14ac:dyDescent="0.2">
      <c r="A81" s="72">
        <v>46204</v>
      </c>
      <c r="B81" s="73">
        <v>90005</v>
      </c>
      <c r="C81" s="74" t="s">
        <v>37</v>
      </c>
      <c r="D81" s="75" t="s">
        <v>25</v>
      </c>
      <c r="E81" s="76">
        <v>46209.129166666702</v>
      </c>
      <c r="F81" s="77">
        <v>46209.458333333299</v>
      </c>
      <c r="G81" s="77">
        <v>46209.131249999999</v>
      </c>
      <c r="H81" s="78" t="s">
        <v>26</v>
      </c>
      <c r="I81" s="16">
        <f t="shared" si="2"/>
        <v>1</v>
      </c>
      <c r="J81" s="16">
        <v>1</v>
      </c>
      <c r="K81" s="17"/>
      <c r="L81" s="18"/>
      <c r="M81" s="19"/>
      <c r="N81" s="20"/>
      <c r="O81" s="20"/>
      <c r="P81" s="21"/>
      <c r="Q81" s="15"/>
      <c r="R81" s="51" t="str">
        <f t="shared" si="3"/>
        <v>DENTRO DO PRAZO</v>
      </c>
      <c r="S81" s="82"/>
      <c r="T81" s="49" t="s">
        <v>27</v>
      </c>
      <c r="U81" s="83">
        <v>2.0833333333333298E-3</v>
      </c>
    </row>
    <row r="82" spans="1:21" x14ac:dyDescent="0.2">
      <c r="A82" s="72">
        <v>46204</v>
      </c>
      <c r="B82" s="73">
        <v>90006</v>
      </c>
      <c r="C82" s="74" t="s">
        <v>37</v>
      </c>
      <c r="D82" s="75" t="s">
        <v>25</v>
      </c>
      <c r="E82" s="76">
        <v>46209.147916666698</v>
      </c>
      <c r="F82" s="77">
        <v>46209.458333333299</v>
      </c>
      <c r="G82" s="77">
        <v>46209.15</v>
      </c>
      <c r="H82" s="78" t="s">
        <v>26</v>
      </c>
      <c r="I82" s="16">
        <f t="shared" si="2"/>
        <v>1</v>
      </c>
      <c r="J82" s="16">
        <v>1</v>
      </c>
      <c r="K82" s="17"/>
      <c r="L82" s="18"/>
      <c r="M82" s="19"/>
      <c r="N82" s="20"/>
      <c r="O82" s="20"/>
      <c r="P82" s="21"/>
      <c r="Q82" s="15"/>
      <c r="R82" s="51" t="str">
        <f t="shared" si="3"/>
        <v>DENTRO DO PRAZO</v>
      </c>
      <c r="S82" s="82"/>
      <c r="T82" s="49" t="s">
        <v>27</v>
      </c>
      <c r="U82" s="83">
        <v>2.0833333333333298E-3</v>
      </c>
    </row>
    <row r="83" spans="1:21" x14ac:dyDescent="0.2">
      <c r="A83" s="72">
        <v>46204</v>
      </c>
      <c r="B83" s="73">
        <v>90007</v>
      </c>
      <c r="C83" s="74" t="s">
        <v>37</v>
      </c>
      <c r="D83" s="75" t="s">
        <v>25</v>
      </c>
      <c r="E83" s="76">
        <v>46209.168749999997</v>
      </c>
      <c r="F83" s="77">
        <v>46209.458333333299</v>
      </c>
      <c r="G83" s="77">
        <v>46209.170833333301</v>
      </c>
      <c r="H83" s="78" t="s">
        <v>26</v>
      </c>
      <c r="I83" s="16">
        <f t="shared" si="2"/>
        <v>1</v>
      </c>
      <c r="J83" s="16">
        <v>1</v>
      </c>
      <c r="K83" s="17"/>
      <c r="L83" s="18"/>
      <c r="M83" s="19"/>
      <c r="N83" s="20"/>
      <c r="O83" s="20"/>
      <c r="P83" s="21"/>
      <c r="Q83" s="15"/>
      <c r="R83" s="51" t="str">
        <f t="shared" si="3"/>
        <v>DENTRO DO PRAZO</v>
      </c>
      <c r="S83" s="82"/>
      <c r="T83" s="49" t="s">
        <v>27</v>
      </c>
      <c r="U83" s="83">
        <v>2.0833333333333298E-3</v>
      </c>
    </row>
    <row r="84" spans="1:21" x14ac:dyDescent="0.2">
      <c r="A84" s="72">
        <v>46204</v>
      </c>
      <c r="B84" s="73">
        <v>90008</v>
      </c>
      <c r="C84" s="74" t="s">
        <v>37</v>
      </c>
      <c r="D84" s="75" t="s">
        <v>25</v>
      </c>
      <c r="E84" s="76">
        <v>46209.1784722222</v>
      </c>
      <c r="F84" s="77">
        <v>46209.458333333299</v>
      </c>
      <c r="G84" s="77">
        <v>46209.180555555598</v>
      </c>
      <c r="H84" s="78" t="s">
        <v>26</v>
      </c>
      <c r="I84" s="16">
        <f t="shared" si="2"/>
        <v>1</v>
      </c>
      <c r="J84" s="16">
        <v>1</v>
      </c>
      <c r="K84" s="17"/>
      <c r="L84" s="18"/>
      <c r="M84" s="19"/>
      <c r="N84" s="20"/>
      <c r="O84" s="20"/>
      <c r="P84" s="21"/>
      <c r="Q84" s="15"/>
      <c r="R84" s="51" t="str">
        <f t="shared" si="3"/>
        <v>DENTRO DO PRAZO</v>
      </c>
      <c r="S84" s="82"/>
      <c r="T84" s="49" t="s">
        <v>27</v>
      </c>
      <c r="U84" s="83">
        <v>2.0833333333333298E-3</v>
      </c>
    </row>
    <row r="85" spans="1:21" x14ac:dyDescent="0.2">
      <c r="A85" s="72">
        <v>46204</v>
      </c>
      <c r="B85" s="73">
        <v>90009</v>
      </c>
      <c r="C85" s="74" t="s">
        <v>37</v>
      </c>
      <c r="D85" s="75" t="s">
        <v>25</v>
      </c>
      <c r="E85" s="76">
        <v>46209.197916666701</v>
      </c>
      <c r="F85" s="77">
        <v>46209.458333333299</v>
      </c>
      <c r="G85" s="77">
        <v>46209.2</v>
      </c>
      <c r="H85" s="78" t="s">
        <v>26</v>
      </c>
      <c r="I85" s="16">
        <f t="shared" si="2"/>
        <v>1</v>
      </c>
      <c r="J85" s="16">
        <v>1</v>
      </c>
      <c r="K85" s="17"/>
      <c r="L85" s="18"/>
      <c r="M85" s="19"/>
      <c r="N85" s="20"/>
      <c r="O85" s="20"/>
      <c r="P85" s="21"/>
      <c r="Q85" s="15"/>
      <c r="R85" s="51" t="str">
        <f t="shared" si="3"/>
        <v>DENTRO DO PRAZO</v>
      </c>
      <c r="S85" s="82"/>
      <c r="T85" s="49" t="s">
        <v>27</v>
      </c>
      <c r="U85" s="83">
        <v>2.0833333333333298E-3</v>
      </c>
    </row>
    <row r="86" spans="1:21" x14ac:dyDescent="0.2">
      <c r="A86" s="72">
        <v>46204</v>
      </c>
      <c r="B86" s="73">
        <v>90010</v>
      </c>
      <c r="C86" s="74" t="s">
        <v>37</v>
      </c>
      <c r="D86" s="75" t="s">
        <v>25</v>
      </c>
      <c r="E86" s="76">
        <v>46209.209027777797</v>
      </c>
      <c r="F86" s="77">
        <v>46209.458333333299</v>
      </c>
      <c r="G86" s="77">
        <v>46209.211111111101</v>
      </c>
      <c r="H86" s="78" t="s">
        <v>26</v>
      </c>
      <c r="I86" s="16">
        <f t="shared" si="2"/>
        <v>1</v>
      </c>
      <c r="J86" s="16">
        <v>1</v>
      </c>
      <c r="K86" s="17"/>
      <c r="L86" s="18"/>
      <c r="M86" s="19"/>
      <c r="N86" s="20"/>
      <c r="O86" s="20"/>
      <c r="P86" s="21"/>
      <c r="Q86" s="15"/>
      <c r="R86" s="51" t="str">
        <f t="shared" si="3"/>
        <v>DENTRO DO PRAZO</v>
      </c>
      <c r="S86" s="82"/>
      <c r="T86" s="49" t="s">
        <v>27</v>
      </c>
      <c r="U86" s="83">
        <v>2.0833333333333298E-3</v>
      </c>
    </row>
    <row r="87" spans="1:21" x14ac:dyDescent="0.2">
      <c r="A87" s="72">
        <v>46204</v>
      </c>
      <c r="B87" s="73">
        <v>90011</v>
      </c>
      <c r="C87" s="74" t="s">
        <v>37</v>
      </c>
      <c r="D87" s="75" t="s">
        <v>25</v>
      </c>
      <c r="E87" s="76">
        <v>46209.2680555556</v>
      </c>
      <c r="F87" s="77">
        <v>46209.458333333299</v>
      </c>
      <c r="G87" s="77">
        <v>46209.270138888904</v>
      </c>
      <c r="H87" s="78" t="s">
        <v>26</v>
      </c>
      <c r="I87" s="16">
        <f t="shared" si="2"/>
        <v>1</v>
      </c>
      <c r="J87" s="16">
        <v>1</v>
      </c>
      <c r="K87" s="17"/>
      <c r="L87" s="18"/>
      <c r="M87" s="19"/>
      <c r="N87" s="20"/>
      <c r="O87" s="20"/>
      <c r="P87" s="21"/>
      <c r="Q87" s="15"/>
      <c r="R87" s="51" t="str">
        <f t="shared" si="3"/>
        <v>DENTRO DO PRAZO</v>
      </c>
      <c r="S87" s="82"/>
      <c r="T87" s="49" t="s">
        <v>27</v>
      </c>
      <c r="U87" s="83">
        <v>2.0833333333333298E-3</v>
      </c>
    </row>
    <row r="88" spans="1:21" x14ac:dyDescent="0.2">
      <c r="A88" s="72">
        <v>46204</v>
      </c>
      <c r="B88" s="73">
        <v>90012</v>
      </c>
      <c r="C88" s="74" t="s">
        <v>37</v>
      </c>
      <c r="D88" s="75" t="s">
        <v>25</v>
      </c>
      <c r="E88" s="76">
        <v>46209.307638888902</v>
      </c>
      <c r="F88" s="77">
        <v>46209.458333333299</v>
      </c>
      <c r="G88" s="77">
        <v>46209.309722222199</v>
      </c>
      <c r="H88" s="78" t="s">
        <v>26</v>
      </c>
      <c r="I88" s="16">
        <f t="shared" si="2"/>
        <v>1</v>
      </c>
      <c r="J88" s="16">
        <v>1</v>
      </c>
      <c r="K88" s="17"/>
      <c r="L88" s="18"/>
      <c r="M88" s="19"/>
      <c r="N88" s="20"/>
      <c r="O88" s="20"/>
      <c r="P88" s="21"/>
      <c r="Q88" s="15"/>
      <c r="R88" s="51" t="str">
        <f t="shared" si="3"/>
        <v>DENTRO DO PRAZO</v>
      </c>
      <c r="S88" s="82"/>
      <c r="T88" s="49" t="s">
        <v>27</v>
      </c>
      <c r="U88" s="83">
        <v>2.0833333333333298E-3</v>
      </c>
    </row>
    <row r="89" spans="1:21" x14ac:dyDescent="0.2">
      <c r="A89" s="72">
        <v>46204</v>
      </c>
      <c r="B89" s="73">
        <v>90013</v>
      </c>
      <c r="C89" s="74" t="s">
        <v>24</v>
      </c>
      <c r="D89" s="75" t="s">
        <v>25</v>
      </c>
      <c r="E89" s="76">
        <v>46209.335416666698</v>
      </c>
      <c r="F89" s="77">
        <v>46209.458333333299</v>
      </c>
      <c r="G89" s="77">
        <v>46209.3881944444</v>
      </c>
      <c r="H89" s="78" t="s">
        <v>26</v>
      </c>
      <c r="I89" s="16">
        <f t="shared" si="2"/>
        <v>1</v>
      </c>
      <c r="J89" s="16">
        <v>1</v>
      </c>
      <c r="K89" s="17"/>
      <c r="L89" s="18"/>
      <c r="M89" s="19"/>
      <c r="N89" s="20"/>
      <c r="O89" s="20"/>
      <c r="P89" s="21"/>
      <c r="Q89" s="15"/>
      <c r="R89" s="51" t="str">
        <f t="shared" si="3"/>
        <v>DENTRO DO PRAZO</v>
      </c>
      <c r="S89" s="82"/>
      <c r="T89" s="49" t="s">
        <v>27</v>
      </c>
      <c r="U89" s="83">
        <v>5.2777777777777798E-2</v>
      </c>
    </row>
    <row r="90" spans="1:21" x14ac:dyDescent="0.2">
      <c r="A90" s="72">
        <v>46204</v>
      </c>
      <c r="B90" s="73">
        <v>90057</v>
      </c>
      <c r="C90" s="74" t="s">
        <v>37</v>
      </c>
      <c r="D90" s="75" t="s">
        <v>25</v>
      </c>
      <c r="E90" s="76">
        <v>46209.456944444399</v>
      </c>
      <c r="F90" s="77">
        <v>46209.5402777778</v>
      </c>
      <c r="G90" s="77">
        <v>46209.458333333299</v>
      </c>
      <c r="H90" s="78" t="s">
        <v>26</v>
      </c>
      <c r="I90" s="16">
        <f t="shared" si="2"/>
        <v>1</v>
      </c>
      <c r="J90" s="16">
        <v>1</v>
      </c>
      <c r="K90" s="17"/>
      <c r="L90" s="18"/>
      <c r="M90" s="19"/>
      <c r="N90" s="20"/>
      <c r="O90" s="20"/>
      <c r="P90" s="21"/>
      <c r="Q90" s="15"/>
      <c r="R90" s="51" t="str">
        <f t="shared" si="3"/>
        <v>DENTRO DO PRAZO</v>
      </c>
      <c r="S90" s="82"/>
      <c r="T90" s="49" t="s">
        <v>27</v>
      </c>
      <c r="U90" s="83">
        <v>1.38888888888889E-3</v>
      </c>
    </row>
    <row r="91" spans="1:21" x14ac:dyDescent="0.2">
      <c r="A91" s="72">
        <v>46204</v>
      </c>
      <c r="B91" s="73">
        <v>90067</v>
      </c>
      <c r="C91" s="74" t="s">
        <v>37</v>
      </c>
      <c r="D91" s="75" t="s">
        <v>25</v>
      </c>
      <c r="E91" s="76">
        <v>46209.506249999999</v>
      </c>
      <c r="F91" s="77">
        <v>46209.589583333298</v>
      </c>
      <c r="G91" s="77">
        <v>46209.508333333302</v>
      </c>
      <c r="H91" s="78" t="s">
        <v>26</v>
      </c>
      <c r="I91" s="16">
        <f t="shared" si="2"/>
        <v>1</v>
      </c>
      <c r="J91" s="16">
        <v>1</v>
      </c>
      <c r="K91" s="17"/>
      <c r="L91" s="18"/>
      <c r="M91" s="19"/>
      <c r="N91" s="20"/>
      <c r="O91" s="20"/>
      <c r="P91" s="21"/>
      <c r="Q91" s="15"/>
      <c r="R91" s="51" t="str">
        <f t="shared" si="3"/>
        <v>DENTRO DO PRAZO</v>
      </c>
      <c r="S91" s="82"/>
      <c r="T91" s="49" t="s">
        <v>27</v>
      </c>
      <c r="U91" s="83">
        <v>2.0833333333333298E-3</v>
      </c>
    </row>
    <row r="92" spans="1:21" x14ac:dyDescent="0.2">
      <c r="A92" s="72">
        <v>46204</v>
      </c>
      <c r="B92" s="73">
        <v>90069</v>
      </c>
      <c r="C92" s="74" t="s">
        <v>37</v>
      </c>
      <c r="D92" s="75" t="s">
        <v>25</v>
      </c>
      <c r="E92" s="76">
        <v>46209.511805555601</v>
      </c>
      <c r="F92" s="77">
        <v>46209.595138888901</v>
      </c>
      <c r="G92" s="77">
        <v>46209.513888888898</v>
      </c>
      <c r="H92" s="78" t="s">
        <v>26</v>
      </c>
      <c r="I92" s="16">
        <f t="shared" si="2"/>
        <v>1</v>
      </c>
      <c r="J92" s="16">
        <v>1</v>
      </c>
      <c r="K92" s="17"/>
      <c r="L92" s="18"/>
      <c r="M92" s="19"/>
      <c r="N92" s="20"/>
      <c r="O92" s="20"/>
      <c r="P92" s="21"/>
      <c r="Q92" s="15"/>
      <c r="R92" s="51" t="str">
        <f t="shared" si="3"/>
        <v>DENTRO DO PRAZO</v>
      </c>
      <c r="S92" s="82"/>
      <c r="T92" s="49" t="s">
        <v>27</v>
      </c>
      <c r="U92" s="83">
        <v>2.0833333333333298E-3</v>
      </c>
    </row>
    <row r="93" spans="1:21" x14ac:dyDescent="0.2">
      <c r="A93" s="72">
        <v>46204</v>
      </c>
      <c r="B93" s="73">
        <v>90071</v>
      </c>
      <c r="C93" s="74" t="s">
        <v>37</v>
      </c>
      <c r="D93" s="75" t="s">
        <v>25</v>
      </c>
      <c r="E93" s="76">
        <v>46209.517361111102</v>
      </c>
      <c r="F93" s="77">
        <v>46209.600694444503</v>
      </c>
      <c r="G93" s="77">
        <v>46209.519444444399</v>
      </c>
      <c r="H93" s="78" t="s">
        <v>26</v>
      </c>
      <c r="I93" s="16">
        <f t="shared" si="2"/>
        <v>1</v>
      </c>
      <c r="J93" s="16">
        <v>1</v>
      </c>
      <c r="K93" s="17"/>
      <c r="L93" s="18"/>
      <c r="M93" s="19"/>
      <c r="N93" s="20"/>
      <c r="O93" s="20"/>
      <c r="P93" s="21"/>
      <c r="Q93" s="15"/>
      <c r="R93" s="51" t="str">
        <f t="shared" si="3"/>
        <v>DENTRO DO PRAZO</v>
      </c>
      <c r="S93" s="82"/>
      <c r="T93" s="49" t="s">
        <v>27</v>
      </c>
      <c r="U93" s="83">
        <v>2.0833333333333298E-3</v>
      </c>
    </row>
    <row r="94" spans="1:21" x14ac:dyDescent="0.2">
      <c r="A94" s="72">
        <v>46204</v>
      </c>
      <c r="B94" s="73">
        <v>90135</v>
      </c>
      <c r="C94" s="74" t="s">
        <v>37</v>
      </c>
      <c r="D94" s="75" t="s">
        <v>25</v>
      </c>
      <c r="E94" s="76">
        <v>46209.690972222197</v>
      </c>
      <c r="F94" s="77">
        <v>46210.378472222197</v>
      </c>
      <c r="G94" s="77">
        <v>46209.693055555603</v>
      </c>
      <c r="H94" s="78" t="s">
        <v>26</v>
      </c>
      <c r="I94" s="16">
        <f t="shared" si="2"/>
        <v>1</v>
      </c>
      <c r="J94" s="16">
        <v>1</v>
      </c>
      <c r="K94" s="17"/>
      <c r="L94" s="18"/>
      <c r="M94" s="19"/>
      <c r="N94" s="20"/>
      <c r="O94" s="20"/>
      <c r="P94" s="21"/>
      <c r="Q94" s="15"/>
      <c r="R94" s="51" t="str">
        <f t="shared" si="3"/>
        <v>DENTRO DO PRAZO</v>
      </c>
      <c r="S94" s="82"/>
      <c r="T94" s="49" t="s">
        <v>27</v>
      </c>
      <c r="U94" s="83">
        <v>2.0833333333333298E-3</v>
      </c>
    </row>
    <row r="95" spans="1:21" x14ac:dyDescent="0.2">
      <c r="A95" s="72">
        <v>46204</v>
      </c>
      <c r="B95" s="73">
        <v>90173</v>
      </c>
      <c r="C95" s="74" t="s">
        <v>37</v>
      </c>
      <c r="D95" s="75" t="s">
        <v>25</v>
      </c>
      <c r="E95" s="76">
        <v>46209.7902777778</v>
      </c>
      <c r="F95" s="77">
        <v>46210.458333333299</v>
      </c>
      <c r="G95" s="77">
        <v>46209.792361111096</v>
      </c>
      <c r="H95" s="78" t="s">
        <v>26</v>
      </c>
      <c r="I95" s="16">
        <f t="shared" si="2"/>
        <v>1</v>
      </c>
      <c r="J95" s="16">
        <v>1</v>
      </c>
      <c r="K95" s="17"/>
      <c r="L95" s="18"/>
      <c r="M95" s="19"/>
      <c r="N95" s="20"/>
      <c r="O95" s="20"/>
      <c r="P95" s="21"/>
      <c r="Q95" s="15"/>
      <c r="R95" s="51" t="str">
        <f t="shared" si="3"/>
        <v>DENTRO DO PRAZO</v>
      </c>
      <c r="S95" s="82"/>
      <c r="T95" s="49" t="s">
        <v>27</v>
      </c>
      <c r="U95" s="83">
        <v>2.0833333333333298E-3</v>
      </c>
    </row>
    <row r="96" spans="1:21" x14ac:dyDescent="0.2">
      <c r="A96" s="72">
        <v>46204</v>
      </c>
      <c r="B96" s="73">
        <v>90213</v>
      </c>
      <c r="C96" s="74" t="s">
        <v>37</v>
      </c>
      <c r="D96" s="75" t="s">
        <v>25</v>
      </c>
      <c r="E96" s="76">
        <v>46209.891666666699</v>
      </c>
      <c r="F96" s="77">
        <v>46210.458333333299</v>
      </c>
      <c r="G96" s="77">
        <v>46209.893750000003</v>
      </c>
      <c r="H96" s="78" t="s">
        <v>26</v>
      </c>
      <c r="I96" s="16">
        <f t="shared" si="2"/>
        <v>1</v>
      </c>
      <c r="J96" s="16">
        <v>1</v>
      </c>
      <c r="K96" s="17"/>
      <c r="L96" s="18"/>
      <c r="M96" s="19"/>
      <c r="N96" s="20"/>
      <c r="O96" s="20"/>
      <c r="P96" s="21"/>
      <c r="Q96" s="15"/>
      <c r="R96" s="51" t="str">
        <f t="shared" si="3"/>
        <v>DENTRO DO PRAZO</v>
      </c>
      <c r="S96" s="82"/>
      <c r="T96" s="49" t="s">
        <v>27</v>
      </c>
      <c r="U96" s="83">
        <v>2.0833333333333298E-3</v>
      </c>
    </row>
    <row r="97" spans="1:21" x14ac:dyDescent="0.2">
      <c r="A97" s="72">
        <v>46204</v>
      </c>
      <c r="B97" s="73">
        <v>90214</v>
      </c>
      <c r="C97" s="74" t="s">
        <v>37</v>
      </c>
      <c r="D97" s="75" t="s">
        <v>25</v>
      </c>
      <c r="E97" s="76">
        <v>46209.9</v>
      </c>
      <c r="F97" s="77">
        <v>46210.458333333299</v>
      </c>
      <c r="G97" s="77">
        <v>46209.902083333298</v>
      </c>
      <c r="H97" s="78" t="s">
        <v>26</v>
      </c>
      <c r="I97" s="16">
        <f t="shared" si="2"/>
        <v>1</v>
      </c>
      <c r="J97" s="16">
        <v>1</v>
      </c>
      <c r="K97" s="17"/>
      <c r="L97" s="18"/>
      <c r="M97" s="19"/>
      <c r="N97" s="20"/>
      <c r="O97" s="20"/>
      <c r="P97" s="21"/>
      <c r="Q97" s="15"/>
      <c r="R97" s="51" t="str">
        <f t="shared" si="3"/>
        <v>DENTRO DO PRAZO</v>
      </c>
      <c r="S97" s="82"/>
      <c r="T97" s="49" t="s">
        <v>27</v>
      </c>
      <c r="U97" s="83">
        <v>2.0833333333333298E-3</v>
      </c>
    </row>
    <row r="98" spans="1:21" x14ac:dyDescent="0.2">
      <c r="A98" s="72">
        <v>46204</v>
      </c>
      <c r="B98" s="73">
        <v>90215</v>
      </c>
      <c r="C98" s="74" t="s">
        <v>37</v>
      </c>
      <c r="D98" s="75" t="s">
        <v>25</v>
      </c>
      <c r="E98" s="76">
        <v>46210.028472222199</v>
      </c>
      <c r="F98" s="77">
        <v>46210.458333333299</v>
      </c>
      <c r="G98" s="77">
        <v>46210.029861111099</v>
      </c>
      <c r="H98" s="78" t="s">
        <v>26</v>
      </c>
      <c r="I98" s="16">
        <f t="shared" si="2"/>
        <v>1</v>
      </c>
      <c r="J98" s="16">
        <v>1</v>
      </c>
      <c r="K98" s="17"/>
      <c r="L98" s="18"/>
      <c r="M98" s="19"/>
      <c r="N98" s="20"/>
      <c r="O98" s="20"/>
      <c r="P98" s="21"/>
      <c r="Q98" s="15"/>
      <c r="R98" s="51" t="str">
        <f t="shared" si="3"/>
        <v>DENTRO DO PRAZO</v>
      </c>
      <c r="S98" s="82"/>
      <c r="T98" s="49" t="s">
        <v>27</v>
      </c>
      <c r="U98" s="83">
        <v>1.38888888888889E-3</v>
      </c>
    </row>
    <row r="99" spans="1:21" x14ac:dyDescent="0.2">
      <c r="A99" s="72">
        <v>46204</v>
      </c>
      <c r="B99" s="73">
        <v>90216</v>
      </c>
      <c r="C99" s="74" t="s">
        <v>37</v>
      </c>
      <c r="D99" s="75" t="s">
        <v>25</v>
      </c>
      <c r="E99" s="76">
        <v>46210.05</v>
      </c>
      <c r="F99" s="77">
        <v>46210.458333333299</v>
      </c>
      <c r="G99" s="77">
        <v>46210.052083333299</v>
      </c>
      <c r="H99" s="78" t="s">
        <v>26</v>
      </c>
      <c r="I99" s="16">
        <f t="shared" si="2"/>
        <v>1</v>
      </c>
      <c r="J99" s="16">
        <v>1</v>
      </c>
      <c r="K99" s="17"/>
      <c r="L99" s="18"/>
      <c r="M99" s="19"/>
      <c r="N99" s="20"/>
      <c r="O99" s="20"/>
      <c r="P99" s="21"/>
      <c r="Q99" s="15"/>
      <c r="R99" s="51" t="str">
        <f t="shared" si="3"/>
        <v>DENTRO DO PRAZO</v>
      </c>
      <c r="S99" s="82"/>
      <c r="T99" s="49" t="s">
        <v>27</v>
      </c>
      <c r="U99" s="83">
        <v>2.0833333333333298E-3</v>
      </c>
    </row>
    <row r="100" spans="1:21" x14ac:dyDescent="0.2">
      <c r="A100" s="72">
        <v>46204</v>
      </c>
      <c r="B100" s="73">
        <v>90217</v>
      </c>
      <c r="C100" s="74" t="s">
        <v>37</v>
      </c>
      <c r="D100" s="75" t="s">
        <v>25</v>
      </c>
      <c r="E100" s="76">
        <v>46210.058333333298</v>
      </c>
      <c r="F100" s="77">
        <v>46210.458333333299</v>
      </c>
      <c r="G100" s="77">
        <v>46210.060416666704</v>
      </c>
      <c r="H100" s="78" t="s">
        <v>26</v>
      </c>
      <c r="I100" s="16">
        <f t="shared" si="2"/>
        <v>1</v>
      </c>
      <c r="J100" s="16">
        <v>1</v>
      </c>
      <c r="K100" s="17"/>
      <c r="L100" s="18"/>
      <c r="M100" s="19"/>
      <c r="N100" s="20"/>
      <c r="O100" s="20"/>
      <c r="P100" s="21"/>
      <c r="Q100" s="15"/>
      <c r="R100" s="51" t="str">
        <f t="shared" si="3"/>
        <v>DENTRO DO PRAZO</v>
      </c>
      <c r="S100" s="82"/>
      <c r="T100" s="49" t="s">
        <v>27</v>
      </c>
      <c r="U100" s="83">
        <v>2.0833333333333298E-3</v>
      </c>
    </row>
    <row r="101" spans="1:21" x14ac:dyDescent="0.2">
      <c r="A101" s="72">
        <v>46204</v>
      </c>
      <c r="B101" s="73">
        <v>90218</v>
      </c>
      <c r="C101" s="74" t="s">
        <v>37</v>
      </c>
      <c r="D101" s="75" t="s">
        <v>25</v>
      </c>
      <c r="E101" s="76">
        <v>46210.068749999999</v>
      </c>
      <c r="F101" s="77">
        <v>46210.458333333299</v>
      </c>
      <c r="G101" s="77">
        <v>46210.070833333302</v>
      </c>
      <c r="H101" s="78" t="s">
        <v>26</v>
      </c>
      <c r="I101" s="16">
        <f t="shared" si="2"/>
        <v>1</v>
      </c>
      <c r="J101" s="16">
        <v>1</v>
      </c>
      <c r="K101" s="17"/>
      <c r="L101" s="18"/>
      <c r="M101" s="19"/>
      <c r="N101" s="20"/>
      <c r="O101" s="20"/>
      <c r="P101" s="21"/>
      <c r="Q101" s="15"/>
      <c r="R101" s="51" t="str">
        <f t="shared" si="3"/>
        <v>DENTRO DO PRAZO</v>
      </c>
      <c r="S101" s="82"/>
      <c r="T101" s="49" t="s">
        <v>27</v>
      </c>
      <c r="U101" s="83">
        <v>2.0833333333333298E-3</v>
      </c>
    </row>
    <row r="102" spans="1:21" x14ac:dyDescent="0.2">
      <c r="A102" s="72">
        <v>46204</v>
      </c>
      <c r="B102" s="73">
        <v>90219</v>
      </c>
      <c r="C102" s="74" t="s">
        <v>37</v>
      </c>
      <c r="D102" s="75" t="s">
        <v>25</v>
      </c>
      <c r="E102" s="76">
        <v>46210.085416666698</v>
      </c>
      <c r="F102" s="77">
        <v>46210.458333333299</v>
      </c>
      <c r="G102" s="77">
        <v>46210.087500000001</v>
      </c>
      <c r="H102" s="78" t="s">
        <v>26</v>
      </c>
      <c r="I102" s="16">
        <f t="shared" si="2"/>
        <v>1</v>
      </c>
      <c r="J102" s="16">
        <v>1</v>
      </c>
      <c r="K102" s="17"/>
      <c r="L102" s="18"/>
      <c r="M102" s="19"/>
      <c r="N102" s="20"/>
      <c r="O102" s="20"/>
      <c r="P102" s="21"/>
      <c r="Q102" s="15"/>
      <c r="R102" s="51" t="str">
        <f t="shared" si="3"/>
        <v>DENTRO DO PRAZO</v>
      </c>
      <c r="S102" s="82"/>
      <c r="T102" s="49" t="s">
        <v>27</v>
      </c>
      <c r="U102" s="83">
        <v>2.0833333333333298E-3</v>
      </c>
    </row>
    <row r="103" spans="1:21" x14ac:dyDescent="0.2">
      <c r="A103" s="72">
        <v>46204</v>
      </c>
      <c r="B103" s="73">
        <v>90220</v>
      </c>
      <c r="C103" s="74" t="s">
        <v>37</v>
      </c>
      <c r="D103" s="75" t="s">
        <v>25</v>
      </c>
      <c r="E103" s="76">
        <v>46210.127083333296</v>
      </c>
      <c r="F103" s="77">
        <v>46210.458333333299</v>
      </c>
      <c r="G103" s="77">
        <v>46210.129166666702</v>
      </c>
      <c r="H103" s="78" t="s">
        <v>26</v>
      </c>
      <c r="I103" s="16">
        <f t="shared" si="2"/>
        <v>1</v>
      </c>
      <c r="J103" s="16">
        <v>1</v>
      </c>
      <c r="K103" s="17"/>
      <c r="L103" s="18"/>
      <c r="M103" s="19"/>
      <c r="N103" s="20"/>
      <c r="O103" s="20"/>
      <c r="P103" s="21"/>
      <c r="Q103" s="15"/>
      <c r="R103" s="51" t="str">
        <f t="shared" si="3"/>
        <v>DENTRO DO PRAZO</v>
      </c>
      <c r="S103" s="82"/>
      <c r="T103" s="49" t="s">
        <v>27</v>
      </c>
      <c r="U103" s="83">
        <v>2.0833333333333298E-3</v>
      </c>
    </row>
    <row r="104" spans="1:21" x14ac:dyDescent="0.2">
      <c r="A104" s="72">
        <v>46204</v>
      </c>
      <c r="B104" s="73">
        <v>90221</v>
      </c>
      <c r="C104" s="74" t="s">
        <v>37</v>
      </c>
      <c r="D104" s="75" t="s">
        <v>25</v>
      </c>
      <c r="E104" s="76">
        <v>46210.143750000003</v>
      </c>
      <c r="F104" s="77">
        <v>46210.458333333299</v>
      </c>
      <c r="G104" s="77">
        <v>46210.145833333299</v>
      </c>
      <c r="H104" s="78" t="s">
        <v>26</v>
      </c>
      <c r="I104" s="16">
        <f t="shared" si="2"/>
        <v>1</v>
      </c>
      <c r="J104" s="16">
        <v>1</v>
      </c>
      <c r="K104" s="17"/>
      <c r="L104" s="18"/>
      <c r="M104" s="19"/>
      <c r="N104" s="20"/>
      <c r="O104" s="20"/>
      <c r="P104" s="21"/>
      <c r="Q104" s="15"/>
      <c r="R104" s="51" t="str">
        <f t="shared" si="3"/>
        <v>DENTRO DO PRAZO</v>
      </c>
      <c r="S104" s="82"/>
      <c r="T104" s="49" t="s">
        <v>27</v>
      </c>
      <c r="U104" s="83">
        <v>2.0833333333333298E-3</v>
      </c>
    </row>
    <row r="105" spans="1:21" x14ac:dyDescent="0.2">
      <c r="A105" s="72">
        <v>46204</v>
      </c>
      <c r="B105" s="73">
        <v>90222</v>
      </c>
      <c r="C105" s="74" t="s">
        <v>37</v>
      </c>
      <c r="D105" s="75" t="s">
        <v>25</v>
      </c>
      <c r="E105" s="76">
        <v>46210.146527777797</v>
      </c>
      <c r="F105" s="77">
        <v>46210.458333333299</v>
      </c>
      <c r="G105" s="77">
        <v>46210.148611111101</v>
      </c>
      <c r="H105" s="78" t="s">
        <v>26</v>
      </c>
      <c r="I105" s="16">
        <f t="shared" si="2"/>
        <v>1</v>
      </c>
      <c r="J105" s="16">
        <v>1</v>
      </c>
      <c r="K105" s="17"/>
      <c r="L105" s="18"/>
      <c r="M105" s="19"/>
      <c r="N105" s="20"/>
      <c r="O105" s="20"/>
      <c r="P105" s="21"/>
      <c r="Q105" s="15"/>
      <c r="R105" s="51" t="str">
        <f t="shared" si="3"/>
        <v>DENTRO DO PRAZO</v>
      </c>
      <c r="S105" s="82"/>
      <c r="T105" s="49" t="s">
        <v>27</v>
      </c>
      <c r="U105" s="83">
        <v>2.0833333333333298E-3</v>
      </c>
    </row>
    <row r="106" spans="1:21" x14ac:dyDescent="0.2">
      <c r="A106" s="72">
        <v>46204</v>
      </c>
      <c r="B106" s="73">
        <v>90223</v>
      </c>
      <c r="C106" s="74" t="s">
        <v>37</v>
      </c>
      <c r="D106" s="75" t="s">
        <v>25</v>
      </c>
      <c r="E106" s="76">
        <v>46210.152083333298</v>
      </c>
      <c r="F106" s="77">
        <v>46210.458333333299</v>
      </c>
      <c r="G106" s="77">
        <v>46210.154166666704</v>
      </c>
      <c r="H106" s="78" t="s">
        <v>26</v>
      </c>
      <c r="I106" s="16">
        <f t="shared" si="2"/>
        <v>1</v>
      </c>
      <c r="J106" s="16">
        <v>1</v>
      </c>
      <c r="K106" s="17"/>
      <c r="L106" s="18"/>
      <c r="M106" s="19"/>
      <c r="N106" s="20"/>
      <c r="O106" s="20"/>
      <c r="P106" s="21"/>
      <c r="Q106" s="15"/>
      <c r="R106" s="51" t="str">
        <f t="shared" si="3"/>
        <v>DENTRO DO PRAZO</v>
      </c>
      <c r="S106" s="82"/>
      <c r="T106" s="49" t="s">
        <v>27</v>
      </c>
      <c r="U106" s="83">
        <v>2.0833333333333298E-3</v>
      </c>
    </row>
    <row r="107" spans="1:21" x14ac:dyDescent="0.2">
      <c r="A107" s="72">
        <v>46204</v>
      </c>
      <c r="B107" s="73">
        <v>90224</v>
      </c>
      <c r="C107" s="74" t="s">
        <v>37</v>
      </c>
      <c r="D107" s="75" t="s">
        <v>25</v>
      </c>
      <c r="E107" s="76">
        <v>46210.157638888901</v>
      </c>
      <c r="F107" s="77">
        <v>46210.458333333299</v>
      </c>
      <c r="G107" s="77">
        <v>46210.159722222197</v>
      </c>
      <c r="H107" s="78" t="s">
        <v>26</v>
      </c>
      <c r="I107" s="16">
        <f t="shared" si="2"/>
        <v>1</v>
      </c>
      <c r="J107" s="16">
        <v>1</v>
      </c>
      <c r="K107" s="17"/>
      <c r="L107" s="18"/>
      <c r="M107" s="19"/>
      <c r="N107" s="20"/>
      <c r="O107" s="20"/>
      <c r="P107" s="21"/>
      <c r="Q107" s="15"/>
      <c r="R107" s="51" t="str">
        <f t="shared" si="3"/>
        <v>DENTRO DO PRAZO</v>
      </c>
      <c r="S107" s="82"/>
      <c r="T107" s="49" t="s">
        <v>27</v>
      </c>
      <c r="U107" s="83">
        <v>2.0833333333333298E-3</v>
      </c>
    </row>
    <row r="108" spans="1:21" x14ac:dyDescent="0.2">
      <c r="A108" s="72">
        <v>46204</v>
      </c>
      <c r="B108" s="73">
        <v>90225</v>
      </c>
      <c r="C108" s="74" t="s">
        <v>37</v>
      </c>
      <c r="D108" s="75" t="s">
        <v>25</v>
      </c>
      <c r="E108" s="76">
        <v>46210.193055555603</v>
      </c>
      <c r="F108" s="77">
        <v>46210.458333333299</v>
      </c>
      <c r="G108" s="77">
        <v>46210.195138888899</v>
      </c>
      <c r="H108" s="78" t="s">
        <v>26</v>
      </c>
      <c r="I108" s="16">
        <f t="shared" si="2"/>
        <v>1</v>
      </c>
      <c r="J108" s="16">
        <v>1</v>
      </c>
      <c r="K108" s="17"/>
      <c r="L108" s="18"/>
      <c r="M108" s="19"/>
      <c r="N108" s="20"/>
      <c r="O108" s="20"/>
      <c r="P108" s="21"/>
      <c r="Q108" s="15"/>
      <c r="R108" s="51" t="str">
        <f t="shared" si="3"/>
        <v>DENTRO DO PRAZO</v>
      </c>
      <c r="S108" s="82"/>
      <c r="T108" s="49" t="s">
        <v>27</v>
      </c>
      <c r="U108" s="83">
        <v>2.0833333333333298E-3</v>
      </c>
    </row>
    <row r="109" spans="1:21" x14ac:dyDescent="0.2">
      <c r="A109" s="72">
        <v>46204</v>
      </c>
      <c r="B109" s="73">
        <v>90228</v>
      </c>
      <c r="C109" s="74" t="s">
        <v>37</v>
      </c>
      <c r="D109" s="75" t="s">
        <v>25</v>
      </c>
      <c r="E109" s="76">
        <v>46210.304166666698</v>
      </c>
      <c r="F109" s="77">
        <v>46210.458333333299</v>
      </c>
      <c r="G109" s="77">
        <v>46210.306944444397</v>
      </c>
      <c r="H109" s="78" t="s">
        <v>26</v>
      </c>
      <c r="I109" s="16">
        <f t="shared" si="2"/>
        <v>1</v>
      </c>
      <c r="J109" s="16">
        <v>1</v>
      </c>
      <c r="K109" s="17"/>
      <c r="L109" s="18"/>
      <c r="M109" s="19"/>
      <c r="N109" s="20"/>
      <c r="O109" s="20"/>
      <c r="P109" s="21"/>
      <c r="Q109" s="15"/>
      <c r="R109" s="51" t="str">
        <f t="shared" si="3"/>
        <v>DENTRO DO PRAZO</v>
      </c>
      <c r="S109" s="82"/>
      <c r="T109" s="49" t="s">
        <v>27</v>
      </c>
      <c r="U109" s="83">
        <v>2.7777777777777801E-3</v>
      </c>
    </row>
    <row r="110" spans="1:21" x14ac:dyDescent="0.2">
      <c r="A110" s="72">
        <v>46204</v>
      </c>
      <c r="B110" s="73">
        <v>90229</v>
      </c>
      <c r="C110" s="74" t="s">
        <v>37</v>
      </c>
      <c r="D110" s="75" t="s">
        <v>25</v>
      </c>
      <c r="E110" s="76">
        <v>46210.335416666698</v>
      </c>
      <c r="F110" s="77">
        <v>46210.458333333299</v>
      </c>
      <c r="G110" s="77">
        <v>46210.337500000001</v>
      </c>
      <c r="H110" s="78" t="s">
        <v>26</v>
      </c>
      <c r="I110" s="16">
        <f t="shared" si="2"/>
        <v>1</v>
      </c>
      <c r="J110" s="16">
        <v>1</v>
      </c>
      <c r="K110" s="17"/>
      <c r="L110" s="18"/>
      <c r="M110" s="19"/>
      <c r="N110" s="20"/>
      <c r="O110" s="20"/>
      <c r="P110" s="21"/>
      <c r="Q110" s="15"/>
      <c r="R110" s="51" t="str">
        <f t="shared" si="3"/>
        <v>DENTRO DO PRAZO</v>
      </c>
      <c r="S110" s="82"/>
      <c r="T110" s="49" t="s">
        <v>27</v>
      </c>
      <c r="U110" s="83">
        <v>2.0833333333333298E-3</v>
      </c>
    </row>
    <row r="111" spans="1:21" x14ac:dyDescent="0.2">
      <c r="A111" s="72">
        <v>46204</v>
      </c>
      <c r="B111" s="73">
        <v>90236</v>
      </c>
      <c r="C111" s="74" t="s">
        <v>38</v>
      </c>
      <c r="D111" s="75" t="s">
        <v>25</v>
      </c>
      <c r="E111" s="76">
        <v>46210.388888888898</v>
      </c>
      <c r="F111" s="77">
        <v>46210.695833333302</v>
      </c>
      <c r="G111" s="77">
        <v>46210.671527777798</v>
      </c>
      <c r="H111" s="78" t="s">
        <v>26</v>
      </c>
      <c r="I111" s="16">
        <f t="shared" si="2"/>
        <v>1</v>
      </c>
      <c r="J111" s="16">
        <v>1</v>
      </c>
      <c r="K111" s="17"/>
      <c r="L111" s="18"/>
      <c r="M111" s="19"/>
      <c r="N111" s="20"/>
      <c r="O111" s="20"/>
      <c r="P111" s="21"/>
      <c r="Q111" s="15"/>
      <c r="R111" s="51" t="str">
        <f t="shared" si="3"/>
        <v>DENTRO DO PRAZO</v>
      </c>
      <c r="S111" s="82"/>
      <c r="T111" s="49" t="s">
        <v>27</v>
      </c>
      <c r="U111" s="83">
        <v>0.28263888888888899</v>
      </c>
    </row>
    <row r="112" spans="1:21" x14ac:dyDescent="0.2">
      <c r="A112" s="72">
        <v>46204</v>
      </c>
      <c r="B112" s="73">
        <v>90238</v>
      </c>
      <c r="C112" s="74" t="s">
        <v>37</v>
      </c>
      <c r="D112" s="75" t="s">
        <v>25</v>
      </c>
      <c r="E112" s="76">
        <v>46210.391666666699</v>
      </c>
      <c r="F112" s="77">
        <v>46210.474999999999</v>
      </c>
      <c r="G112" s="77">
        <v>46210.393750000003</v>
      </c>
      <c r="H112" s="78" t="s">
        <v>26</v>
      </c>
      <c r="I112" s="16">
        <f t="shared" si="2"/>
        <v>1</v>
      </c>
      <c r="J112" s="16">
        <v>1</v>
      </c>
      <c r="K112" s="17"/>
      <c r="L112" s="18"/>
      <c r="M112" s="19"/>
      <c r="N112" s="20"/>
      <c r="O112" s="20"/>
      <c r="P112" s="21"/>
      <c r="Q112" s="15"/>
      <c r="R112" s="51" t="str">
        <f t="shared" si="3"/>
        <v>DENTRO DO PRAZO</v>
      </c>
      <c r="S112" s="82"/>
      <c r="T112" s="49" t="s">
        <v>27</v>
      </c>
      <c r="U112" s="83">
        <v>2.0833333333333298E-3</v>
      </c>
    </row>
    <row r="113" spans="1:21" x14ac:dyDescent="0.2">
      <c r="A113" s="72">
        <v>46204</v>
      </c>
      <c r="B113" s="73">
        <v>90241</v>
      </c>
      <c r="C113" s="74" t="s">
        <v>41</v>
      </c>
      <c r="D113" s="75" t="s">
        <v>25</v>
      </c>
      <c r="E113" s="76">
        <v>46210.406944444498</v>
      </c>
      <c r="F113" s="77">
        <v>46210.500694444498</v>
      </c>
      <c r="G113" s="77">
        <v>46210.461111111101</v>
      </c>
      <c r="H113" s="78" t="s">
        <v>26</v>
      </c>
      <c r="I113" s="16">
        <f t="shared" si="2"/>
        <v>1</v>
      </c>
      <c r="J113" s="16">
        <v>1</v>
      </c>
      <c r="K113" s="17"/>
      <c r="L113" s="18"/>
      <c r="M113" s="19"/>
      <c r="N113" s="20"/>
      <c r="O113" s="20"/>
      <c r="P113" s="21"/>
      <c r="Q113" s="15"/>
      <c r="R113" s="51" t="str">
        <f t="shared" si="3"/>
        <v>DENTRO DO PRAZO</v>
      </c>
      <c r="S113" s="82"/>
      <c r="T113" s="49" t="s">
        <v>29</v>
      </c>
      <c r="U113" s="83">
        <v>5.4166666666666703E-2</v>
      </c>
    </row>
    <row r="114" spans="1:21" x14ac:dyDescent="0.2">
      <c r="A114" s="72">
        <v>46204</v>
      </c>
      <c r="B114" s="73">
        <v>90251</v>
      </c>
      <c r="C114" s="74" t="s">
        <v>37</v>
      </c>
      <c r="D114" s="75" t="s">
        <v>25</v>
      </c>
      <c r="E114" s="76">
        <v>46210.425000000003</v>
      </c>
      <c r="F114" s="77">
        <v>46210.508333333302</v>
      </c>
      <c r="G114" s="77">
        <v>46210.427083333299</v>
      </c>
      <c r="H114" s="78" t="s">
        <v>26</v>
      </c>
      <c r="I114" s="16">
        <f t="shared" si="2"/>
        <v>1</v>
      </c>
      <c r="J114" s="16">
        <v>1</v>
      </c>
      <c r="K114" s="17"/>
      <c r="L114" s="18"/>
      <c r="M114" s="19"/>
      <c r="N114" s="20"/>
      <c r="O114" s="20"/>
      <c r="P114" s="21"/>
      <c r="Q114" s="15"/>
      <c r="R114" s="51" t="str">
        <f t="shared" si="3"/>
        <v>DENTRO DO PRAZO</v>
      </c>
      <c r="S114" s="82"/>
      <c r="T114" s="49" t="s">
        <v>27</v>
      </c>
      <c r="U114" s="83">
        <v>2.0833333333333298E-3</v>
      </c>
    </row>
    <row r="115" spans="1:21" x14ac:dyDescent="0.2">
      <c r="A115" s="72">
        <v>46204</v>
      </c>
      <c r="B115" s="73">
        <v>90253</v>
      </c>
      <c r="C115" s="74" t="s">
        <v>32</v>
      </c>
      <c r="D115" s="75" t="s">
        <v>25</v>
      </c>
      <c r="E115" s="76">
        <v>46210.425000000003</v>
      </c>
      <c r="F115" s="77">
        <v>46210.508333333302</v>
      </c>
      <c r="G115" s="77">
        <v>46210.460416666698</v>
      </c>
      <c r="H115" s="78" t="s">
        <v>26</v>
      </c>
      <c r="I115" s="16">
        <f t="shared" si="2"/>
        <v>1</v>
      </c>
      <c r="J115" s="16">
        <v>1</v>
      </c>
      <c r="K115" s="17"/>
      <c r="L115" s="18"/>
      <c r="M115" s="19"/>
      <c r="N115" s="20"/>
      <c r="O115" s="20"/>
      <c r="P115" s="21"/>
      <c r="Q115" s="15"/>
      <c r="R115" s="51" t="str">
        <f t="shared" si="3"/>
        <v>DENTRO DO PRAZO</v>
      </c>
      <c r="S115" s="82"/>
      <c r="T115" s="49" t="s">
        <v>29</v>
      </c>
      <c r="U115" s="83">
        <v>3.54166666666667E-2</v>
      </c>
    </row>
    <row r="116" spans="1:21" x14ac:dyDescent="0.2">
      <c r="A116" s="72">
        <v>46204</v>
      </c>
      <c r="B116" s="73">
        <v>90257</v>
      </c>
      <c r="C116" s="74" t="s">
        <v>38</v>
      </c>
      <c r="D116" s="75" t="s">
        <v>25</v>
      </c>
      <c r="E116" s="76">
        <v>46210.427083333299</v>
      </c>
      <c r="F116" s="77">
        <v>46210.565277777801</v>
      </c>
      <c r="G116" s="77">
        <v>46210.543749999997</v>
      </c>
      <c r="H116" s="78" t="s">
        <v>26</v>
      </c>
      <c r="I116" s="16">
        <f t="shared" si="2"/>
        <v>1</v>
      </c>
      <c r="J116" s="16">
        <v>1</v>
      </c>
      <c r="K116" s="17"/>
      <c r="L116" s="18"/>
      <c r="M116" s="19"/>
      <c r="N116" s="20"/>
      <c r="O116" s="20"/>
      <c r="P116" s="21"/>
      <c r="Q116" s="15"/>
      <c r="R116" s="51" t="str">
        <f t="shared" si="3"/>
        <v>DENTRO DO PRAZO</v>
      </c>
      <c r="S116" s="82"/>
      <c r="T116" s="49" t="s">
        <v>27</v>
      </c>
      <c r="U116" s="83">
        <v>0.116666666666667</v>
      </c>
    </row>
    <row r="117" spans="1:21" x14ac:dyDescent="0.2">
      <c r="A117" s="72">
        <v>46204</v>
      </c>
      <c r="B117" s="73">
        <v>90260</v>
      </c>
      <c r="C117" s="74" t="s">
        <v>42</v>
      </c>
      <c r="D117" s="75" t="s">
        <v>25</v>
      </c>
      <c r="E117" s="76">
        <v>46210.429861111101</v>
      </c>
      <c r="F117" s="77">
        <v>46210.5131944444</v>
      </c>
      <c r="G117" s="77">
        <v>46210.4597222222</v>
      </c>
      <c r="H117" s="78" t="s">
        <v>26</v>
      </c>
      <c r="I117" s="16">
        <f t="shared" si="2"/>
        <v>1</v>
      </c>
      <c r="J117" s="16">
        <v>1</v>
      </c>
      <c r="K117" s="17"/>
      <c r="L117" s="18"/>
      <c r="M117" s="19"/>
      <c r="N117" s="20"/>
      <c r="O117" s="20"/>
      <c r="P117" s="21"/>
      <c r="Q117" s="15"/>
      <c r="R117" s="51" t="str">
        <f t="shared" si="3"/>
        <v>DENTRO DO PRAZO</v>
      </c>
      <c r="S117" s="82"/>
      <c r="T117" s="49" t="s">
        <v>29</v>
      </c>
      <c r="U117" s="83">
        <v>2.9861111111111099E-2</v>
      </c>
    </row>
    <row r="118" spans="1:21" x14ac:dyDescent="0.2">
      <c r="A118" s="72">
        <v>46204</v>
      </c>
      <c r="B118" s="73">
        <v>90309</v>
      </c>
      <c r="C118" s="74" t="s">
        <v>37</v>
      </c>
      <c r="D118" s="75" t="s">
        <v>25</v>
      </c>
      <c r="E118" s="76">
        <v>46210.545138888898</v>
      </c>
      <c r="F118" s="77">
        <v>46210.628472222197</v>
      </c>
      <c r="G118" s="77">
        <v>46210.547222222202</v>
      </c>
      <c r="H118" s="78" t="s">
        <v>26</v>
      </c>
      <c r="I118" s="16">
        <f t="shared" si="2"/>
        <v>1</v>
      </c>
      <c r="J118" s="16">
        <v>1</v>
      </c>
      <c r="K118" s="17"/>
      <c r="L118" s="18"/>
      <c r="M118" s="19"/>
      <c r="N118" s="20"/>
      <c r="O118" s="20"/>
      <c r="P118" s="21"/>
      <c r="Q118" s="15"/>
      <c r="R118" s="51" t="str">
        <f t="shared" si="3"/>
        <v>DENTRO DO PRAZO</v>
      </c>
      <c r="S118" s="82"/>
      <c r="T118" s="49" t="s">
        <v>27</v>
      </c>
      <c r="U118" s="83">
        <v>2.0833333333333298E-3</v>
      </c>
    </row>
    <row r="119" spans="1:21" x14ac:dyDescent="0.2">
      <c r="A119" s="72">
        <v>46204</v>
      </c>
      <c r="B119" s="73">
        <v>90324</v>
      </c>
      <c r="C119" s="74" t="s">
        <v>37</v>
      </c>
      <c r="D119" s="75" t="s">
        <v>25</v>
      </c>
      <c r="E119" s="76">
        <v>46210.595833333296</v>
      </c>
      <c r="F119" s="77">
        <v>46210.679166666698</v>
      </c>
      <c r="G119" s="77">
        <v>46210.597916666702</v>
      </c>
      <c r="H119" s="78" t="s">
        <v>26</v>
      </c>
      <c r="I119" s="16">
        <f t="shared" si="2"/>
        <v>1</v>
      </c>
      <c r="J119" s="16">
        <v>1</v>
      </c>
      <c r="K119" s="17"/>
      <c r="L119" s="18"/>
      <c r="M119" s="19"/>
      <c r="N119" s="20"/>
      <c r="O119" s="20"/>
      <c r="P119" s="21"/>
      <c r="Q119" s="15"/>
      <c r="R119" s="51" t="str">
        <f t="shared" si="3"/>
        <v>DENTRO DO PRAZO</v>
      </c>
      <c r="S119" s="82"/>
      <c r="T119" s="49" t="s">
        <v>27</v>
      </c>
      <c r="U119" s="83">
        <v>2.0833333333333298E-3</v>
      </c>
    </row>
    <row r="120" spans="1:21" x14ac:dyDescent="0.2">
      <c r="A120" s="72">
        <v>46204</v>
      </c>
      <c r="B120" s="73">
        <v>90415</v>
      </c>
      <c r="C120" s="74" t="s">
        <v>37</v>
      </c>
      <c r="D120" s="75" t="s">
        <v>25</v>
      </c>
      <c r="E120" s="76">
        <v>46210.9506944444</v>
      </c>
      <c r="F120" s="77">
        <v>46211.458333333299</v>
      </c>
      <c r="G120" s="77">
        <v>46210.952777777798</v>
      </c>
      <c r="H120" s="78" t="s">
        <v>26</v>
      </c>
      <c r="I120" s="16">
        <f t="shared" si="2"/>
        <v>1</v>
      </c>
      <c r="J120" s="16">
        <v>1</v>
      </c>
      <c r="K120" s="17"/>
      <c r="L120" s="18"/>
      <c r="M120" s="19"/>
      <c r="N120" s="20"/>
      <c r="O120" s="20"/>
      <c r="P120" s="21"/>
      <c r="Q120" s="15"/>
      <c r="R120" s="51" t="str">
        <f t="shared" si="3"/>
        <v>DENTRO DO PRAZO</v>
      </c>
      <c r="S120" s="82"/>
      <c r="T120" s="49" t="s">
        <v>27</v>
      </c>
      <c r="U120" s="83">
        <v>2.0833333333333298E-3</v>
      </c>
    </row>
    <row r="121" spans="1:21" x14ac:dyDescent="0.2">
      <c r="A121" s="72">
        <v>46204</v>
      </c>
      <c r="B121" s="73">
        <v>90416</v>
      </c>
      <c r="C121" s="74" t="s">
        <v>37</v>
      </c>
      <c r="D121" s="75" t="s">
        <v>25</v>
      </c>
      <c r="E121" s="76">
        <v>46210.957638888904</v>
      </c>
      <c r="F121" s="77">
        <v>46211.458333333299</v>
      </c>
      <c r="G121" s="77">
        <v>46210.9597222222</v>
      </c>
      <c r="H121" s="78" t="s">
        <v>26</v>
      </c>
      <c r="I121" s="16">
        <f t="shared" si="2"/>
        <v>1</v>
      </c>
      <c r="J121" s="16">
        <v>1</v>
      </c>
      <c r="K121" s="17"/>
      <c r="L121" s="18"/>
      <c r="M121" s="19"/>
      <c r="N121" s="20"/>
      <c r="O121" s="20"/>
      <c r="P121" s="21"/>
      <c r="Q121" s="15"/>
      <c r="R121" s="51" t="str">
        <f t="shared" si="3"/>
        <v>DENTRO DO PRAZO</v>
      </c>
      <c r="S121" s="82"/>
      <c r="T121" s="49" t="s">
        <v>27</v>
      </c>
      <c r="U121" s="83">
        <v>2.0833333333333298E-3</v>
      </c>
    </row>
    <row r="122" spans="1:21" x14ac:dyDescent="0.2">
      <c r="A122" s="72">
        <v>46204</v>
      </c>
      <c r="B122" s="73">
        <v>90417</v>
      </c>
      <c r="C122" s="74" t="s">
        <v>37</v>
      </c>
      <c r="D122" s="75" t="s">
        <v>25</v>
      </c>
      <c r="E122" s="76">
        <v>46210.967361111099</v>
      </c>
      <c r="F122" s="77">
        <v>46211.458333333299</v>
      </c>
      <c r="G122" s="77">
        <v>46210.969444444498</v>
      </c>
      <c r="H122" s="78" t="s">
        <v>26</v>
      </c>
      <c r="I122" s="16">
        <f t="shared" si="2"/>
        <v>1</v>
      </c>
      <c r="J122" s="16">
        <v>1</v>
      </c>
      <c r="K122" s="17"/>
      <c r="L122" s="18"/>
      <c r="M122" s="19"/>
      <c r="N122" s="20"/>
      <c r="O122" s="20"/>
      <c r="P122" s="21"/>
      <c r="Q122" s="15"/>
      <c r="R122" s="51" t="str">
        <f t="shared" si="3"/>
        <v>DENTRO DO PRAZO</v>
      </c>
      <c r="S122" s="82"/>
      <c r="T122" s="49" t="s">
        <v>27</v>
      </c>
      <c r="U122" s="83">
        <v>2.0833333333333298E-3</v>
      </c>
    </row>
    <row r="123" spans="1:21" x14ac:dyDescent="0.2">
      <c r="A123" s="72">
        <v>46204</v>
      </c>
      <c r="B123" s="73">
        <v>90418</v>
      </c>
      <c r="C123" s="74" t="s">
        <v>37</v>
      </c>
      <c r="D123" s="75" t="s">
        <v>25</v>
      </c>
      <c r="E123" s="76">
        <v>46210.970138888901</v>
      </c>
      <c r="F123" s="77">
        <v>46211.458333333299</v>
      </c>
      <c r="G123" s="77">
        <v>46210.972222222197</v>
      </c>
      <c r="H123" s="78" t="s">
        <v>26</v>
      </c>
      <c r="I123" s="16">
        <f t="shared" si="2"/>
        <v>1</v>
      </c>
      <c r="J123" s="16">
        <v>1</v>
      </c>
      <c r="K123" s="17"/>
      <c r="L123" s="18"/>
      <c r="M123" s="19"/>
      <c r="N123" s="20"/>
      <c r="O123" s="20"/>
      <c r="P123" s="21"/>
      <c r="Q123" s="15"/>
      <c r="R123" s="51" t="str">
        <f t="shared" si="3"/>
        <v>DENTRO DO PRAZO</v>
      </c>
      <c r="S123" s="82"/>
      <c r="T123" s="49" t="s">
        <v>27</v>
      </c>
      <c r="U123" s="83">
        <v>2.0833333333333298E-3</v>
      </c>
    </row>
    <row r="124" spans="1:21" x14ac:dyDescent="0.2">
      <c r="A124" s="72">
        <v>46204</v>
      </c>
      <c r="B124" s="73">
        <v>90419</v>
      </c>
      <c r="C124" s="74" t="s">
        <v>37</v>
      </c>
      <c r="D124" s="75" t="s">
        <v>25</v>
      </c>
      <c r="E124" s="76">
        <v>46211.018750000003</v>
      </c>
      <c r="F124" s="77">
        <v>46211.458333333299</v>
      </c>
      <c r="G124" s="77">
        <v>46211.020833333299</v>
      </c>
      <c r="H124" s="78" t="s">
        <v>26</v>
      </c>
      <c r="I124" s="16">
        <f t="shared" si="2"/>
        <v>1</v>
      </c>
      <c r="J124" s="16">
        <v>1</v>
      </c>
      <c r="K124" s="17"/>
      <c r="L124" s="18"/>
      <c r="M124" s="19"/>
      <c r="N124" s="20"/>
      <c r="O124" s="20"/>
      <c r="P124" s="21"/>
      <c r="Q124" s="15"/>
      <c r="R124" s="51" t="str">
        <f t="shared" si="3"/>
        <v>DENTRO DO PRAZO</v>
      </c>
      <c r="S124" s="82"/>
      <c r="T124" s="49" t="s">
        <v>27</v>
      </c>
      <c r="U124" s="83">
        <v>2.0833333333333298E-3</v>
      </c>
    </row>
    <row r="125" spans="1:21" x14ac:dyDescent="0.2">
      <c r="A125" s="72">
        <v>46204</v>
      </c>
      <c r="B125" s="73">
        <v>90420</v>
      </c>
      <c r="C125" s="74" t="s">
        <v>37</v>
      </c>
      <c r="D125" s="75" t="s">
        <v>25</v>
      </c>
      <c r="E125" s="76">
        <v>46211.152083333298</v>
      </c>
      <c r="F125" s="77">
        <v>46211.458333333299</v>
      </c>
      <c r="G125" s="77">
        <v>46211.154166666704</v>
      </c>
      <c r="H125" s="78" t="s">
        <v>26</v>
      </c>
      <c r="I125" s="16">
        <f t="shared" si="2"/>
        <v>1</v>
      </c>
      <c r="J125" s="16">
        <v>1</v>
      </c>
      <c r="K125" s="17"/>
      <c r="L125" s="18"/>
      <c r="M125" s="19"/>
      <c r="N125" s="20"/>
      <c r="O125" s="20"/>
      <c r="P125" s="21"/>
      <c r="Q125" s="15"/>
      <c r="R125" s="51" t="str">
        <f t="shared" si="3"/>
        <v>DENTRO DO PRAZO</v>
      </c>
      <c r="S125" s="82"/>
      <c r="T125" s="49" t="s">
        <v>27</v>
      </c>
      <c r="U125" s="83">
        <v>2.0833333333333298E-3</v>
      </c>
    </row>
    <row r="126" spans="1:21" x14ac:dyDescent="0.2">
      <c r="A126" s="72">
        <v>46204</v>
      </c>
      <c r="B126" s="73">
        <v>90421</v>
      </c>
      <c r="C126" s="74" t="s">
        <v>37</v>
      </c>
      <c r="D126" s="75" t="s">
        <v>25</v>
      </c>
      <c r="E126" s="76">
        <v>46211.161805555603</v>
      </c>
      <c r="F126" s="77">
        <v>46211.458333333299</v>
      </c>
      <c r="G126" s="77">
        <v>46211.163194444503</v>
      </c>
      <c r="H126" s="78" t="s">
        <v>26</v>
      </c>
      <c r="I126" s="16">
        <f t="shared" si="2"/>
        <v>1</v>
      </c>
      <c r="J126" s="16">
        <v>1</v>
      </c>
      <c r="K126" s="17"/>
      <c r="L126" s="18"/>
      <c r="M126" s="19"/>
      <c r="N126" s="20"/>
      <c r="O126" s="20"/>
      <c r="P126" s="21"/>
      <c r="Q126" s="15"/>
      <c r="R126" s="51" t="str">
        <f t="shared" si="3"/>
        <v>DENTRO DO PRAZO</v>
      </c>
      <c r="S126" s="82"/>
      <c r="T126" s="49" t="s">
        <v>27</v>
      </c>
      <c r="U126" s="83">
        <v>1.38888888888889E-3</v>
      </c>
    </row>
    <row r="127" spans="1:21" x14ac:dyDescent="0.2">
      <c r="A127" s="72">
        <v>46204</v>
      </c>
      <c r="B127" s="73">
        <v>90422</v>
      </c>
      <c r="C127" s="74" t="s">
        <v>37</v>
      </c>
      <c r="D127" s="75" t="s">
        <v>25</v>
      </c>
      <c r="E127" s="76">
        <v>46211.168055555601</v>
      </c>
      <c r="F127" s="77">
        <v>46211.458333333299</v>
      </c>
      <c r="G127" s="77">
        <v>46211.170138888898</v>
      </c>
      <c r="H127" s="78" t="s">
        <v>26</v>
      </c>
      <c r="I127" s="16">
        <f t="shared" si="2"/>
        <v>1</v>
      </c>
      <c r="J127" s="16">
        <v>1</v>
      </c>
      <c r="K127" s="17"/>
      <c r="L127" s="18"/>
      <c r="M127" s="19"/>
      <c r="N127" s="20"/>
      <c r="O127" s="20"/>
      <c r="P127" s="21"/>
      <c r="Q127" s="15"/>
      <c r="R127" s="51" t="str">
        <f t="shared" si="3"/>
        <v>DENTRO DO PRAZO</v>
      </c>
      <c r="S127" s="82"/>
      <c r="T127" s="49" t="s">
        <v>27</v>
      </c>
      <c r="U127" s="83">
        <v>2.0833333333333298E-3</v>
      </c>
    </row>
    <row r="128" spans="1:21" x14ac:dyDescent="0.2">
      <c r="A128" s="72">
        <v>46204</v>
      </c>
      <c r="B128" s="73">
        <v>90423</v>
      </c>
      <c r="C128" s="74" t="s">
        <v>37</v>
      </c>
      <c r="D128" s="75" t="s">
        <v>25</v>
      </c>
      <c r="E128" s="76">
        <v>46211.181944444397</v>
      </c>
      <c r="F128" s="77">
        <v>46211.458333333299</v>
      </c>
      <c r="G128" s="77">
        <v>46211.184027777803</v>
      </c>
      <c r="H128" s="78" t="s">
        <v>26</v>
      </c>
      <c r="I128" s="16">
        <f t="shared" si="2"/>
        <v>1</v>
      </c>
      <c r="J128" s="16">
        <v>1</v>
      </c>
      <c r="K128" s="17"/>
      <c r="L128" s="18"/>
      <c r="M128" s="19"/>
      <c r="N128" s="20"/>
      <c r="O128" s="20"/>
      <c r="P128" s="21"/>
      <c r="Q128" s="15"/>
      <c r="R128" s="51" t="str">
        <f t="shared" si="3"/>
        <v>DENTRO DO PRAZO</v>
      </c>
      <c r="S128" s="82"/>
      <c r="T128" s="49" t="s">
        <v>27</v>
      </c>
      <c r="U128" s="83">
        <v>2.0833333333333298E-3</v>
      </c>
    </row>
    <row r="129" spans="1:21" x14ac:dyDescent="0.2">
      <c r="A129" s="72">
        <v>46204</v>
      </c>
      <c r="B129" s="73">
        <v>90424</v>
      </c>
      <c r="C129" s="74" t="s">
        <v>37</v>
      </c>
      <c r="D129" s="75" t="s">
        <v>25</v>
      </c>
      <c r="E129" s="76">
        <v>46211.184722222199</v>
      </c>
      <c r="F129" s="77">
        <v>46211.458333333299</v>
      </c>
      <c r="G129" s="77">
        <v>46211.186805555597</v>
      </c>
      <c r="H129" s="78" t="s">
        <v>26</v>
      </c>
      <c r="I129" s="16">
        <f t="shared" si="2"/>
        <v>1</v>
      </c>
      <c r="J129" s="16">
        <v>1</v>
      </c>
      <c r="K129" s="17"/>
      <c r="L129" s="18"/>
      <c r="M129" s="19"/>
      <c r="N129" s="20"/>
      <c r="O129" s="20"/>
      <c r="P129" s="21"/>
      <c r="Q129" s="15"/>
      <c r="R129" s="51" t="str">
        <f t="shared" si="3"/>
        <v>DENTRO DO PRAZO</v>
      </c>
      <c r="S129" s="82"/>
      <c r="T129" s="49" t="s">
        <v>27</v>
      </c>
      <c r="U129" s="83">
        <v>2.0833333333333298E-3</v>
      </c>
    </row>
    <row r="130" spans="1:21" x14ac:dyDescent="0.2">
      <c r="A130" s="72">
        <v>46204</v>
      </c>
      <c r="B130" s="73">
        <v>90425</v>
      </c>
      <c r="C130" s="74" t="s">
        <v>37</v>
      </c>
      <c r="D130" s="75" t="s">
        <v>25</v>
      </c>
      <c r="E130" s="76">
        <v>46211.193055555603</v>
      </c>
      <c r="F130" s="77">
        <v>46211.458333333299</v>
      </c>
      <c r="G130" s="77">
        <v>46211.195138888899</v>
      </c>
      <c r="H130" s="78" t="s">
        <v>26</v>
      </c>
      <c r="I130" s="16">
        <f t="shared" si="2"/>
        <v>1</v>
      </c>
      <c r="J130" s="16">
        <v>1</v>
      </c>
      <c r="K130" s="17"/>
      <c r="L130" s="18"/>
      <c r="M130" s="19"/>
      <c r="N130" s="20"/>
      <c r="O130" s="20"/>
      <c r="P130" s="21"/>
      <c r="Q130" s="15"/>
      <c r="R130" s="51" t="str">
        <f t="shared" si="3"/>
        <v>DENTRO DO PRAZO</v>
      </c>
      <c r="S130" s="82"/>
      <c r="T130" s="49" t="s">
        <v>27</v>
      </c>
      <c r="U130" s="83">
        <v>2.0833333333333298E-3</v>
      </c>
    </row>
    <row r="131" spans="1:21" x14ac:dyDescent="0.2">
      <c r="A131" s="72">
        <v>46204</v>
      </c>
      <c r="B131" s="73">
        <v>90426</v>
      </c>
      <c r="C131" s="74" t="s">
        <v>37</v>
      </c>
      <c r="D131" s="75" t="s">
        <v>25</v>
      </c>
      <c r="E131" s="76">
        <v>46211.204861111102</v>
      </c>
      <c r="F131" s="77">
        <v>46211.458333333299</v>
      </c>
      <c r="G131" s="77">
        <v>46211.206944444399</v>
      </c>
      <c r="H131" s="78" t="s">
        <v>26</v>
      </c>
      <c r="I131" s="16">
        <f t="shared" si="2"/>
        <v>1</v>
      </c>
      <c r="J131" s="16">
        <v>1</v>
      </c>
      <c r="K131" s="17"/>
      <c r="L131" s="18"/>
      <c r="M131" s="19"/>
      <c r="N131" s="20"/>
      <c r="O131" s="20"/>
      <c r="P131" s="21"/>
      <c r="Q131" s="15"/>
      <c r="R131" s="51" t="str">
        <f t="shared" si="3"/>
        <v>DENTRO DO PRAZO</v>
      </c>
      <c r="S131" s="82"/>
      <c r="T131" s="49" t="s">
        <v>27</v>
      </c>
      <c r="U131" s="83">
        <v>2.0833333333333298E-3</v>
      </c>
    </row>
    <row r="132" spans="1:21" x14ac:dyDescent="0.2">
      <c r="A132" s="72">
        <v>46204</v>
      </c>
      <c r="B132" s="73">
        <v>90427</v>
      </c>
      <c r="C132" s="74" t="s">
        <v>37</v>
      </c>
      <c r="D132" s="75" t="s">
        <v>25</v>
      </c>
      <c r="E132" s="76">
        <v>46211.220138888901</v>
      </c>
      <c r="F132" s="77">
        <v>46211.458333333299</v>
      </c>
      <c r="G132" s="77">
        <v>46211.222222222197</v>
      </c>
      <c r="H132" s="78" t="s">
        <v>26</v>
      </c>
      <c r="I132" s="16">
        <f t="shared" si="2"/>
        <v>1</v>
      </c>
      <c r="J132" s="16">
        <v>1</v>
      </c>
      <c r="K132" s="17"/>
      <c r="L132" s="18"/>
      <c r="M132" s="19"/>
      <c r="N132" s="20"/>
      <c r="O132" s="20"/>
      <c r="P132" s="21"/>
      <c r="Q132" s="15"/>
      <c r="R132" s="51" t="str">
        <f t="shared" si="3"/>
        <v>DENTRO DO PRAZO</v>
      </c>
      <c r="S132" s="82"/>
      <c r="T132" s="49" t="s">
        <v>27</v>
      </c>
      <c r="U132" s="83">
        <v>2.0833333333333298E-3</v>
      </c>
    </row>
    <row r="133" spans="1:21" x14ac:dyDescent="0.2">
      <c r="A133" s="72">
        <v>46204</v>
      </c>
      <c r="B133" s="73">
        <v>90428</v>
      </c>
      <c r="C133" s="74" t="s">
        <v>37</v>
      </c>
      <c r="D133" s="75" t="s">
        <v>25</v>
      </c>
      <c r="E133" s="76">
        <v>46211.229861111096</v>
      </c>
      <c r="F133" s="77">
        <v>46211.458333333299</v>
      </c>
      <c r="G133" s="77">
        <v>46211.2319444444</v>
      </c>
      <c r="H133" s="78" t="s">
        <v>26</v>
      </c>
      <c r="I133" s="16">
        <f t="shared" ref="I133:I196" si="4">IF(H133="S",1,0)</f>
        <v>1</v>
      </c>
      <c r="J133" s="16">
        <v>1</v>
      </c>
      <c r="K133" s="17"/>
      <c r="L133" s="18"/>
      <c r="M133" s="19"/>
      <c r="N133" s="20"/>
      <c r="O133" s="20"/>
      <c r="P133" s="21"/>
      <c r="Q133" s="15"/>
      <c r="R133" s="51" t="str">
        <f t="shared" ref="R133:R196" si="5">IF(H133="S","DENTRO DO PRAZO","FORA DO PRAZO")</f>
        <v>DENTRO DO PRAZO</v>
      </c>
      <c r="S133" s="82"/>
      <c r="T133" s="49" t="s">
        <v>27</v>
      </c>
      <c r="U133" s="83">
        <v>2.0833333333333298E-3</v>
      </c>
    </row>
    <row r="134" spans="1:21" x14ac:dyDescent="0.2">
      <c r="A134" s="72">
        <v>46204</v>
      </c>
      <c r="B134" s="73">
        <v>90429</v>
      </c>
      <c r="C134" s="74" t="s">
        <v>37</v>
      </c>
      <c r="D134" s="75" t="s">
        <v>25</v>
      </c>
      <c r="E134" s="76">
        <v>46211.264583333301</v>
      </c>
      <c r="F134" s="77">
        <v>46211.458333333299</v>
      </c>
      <c r="G134" s="77">
        <v>46211.265972222202</v>
      </c>
      <c r="H134" s="78" t="s">
        <v>26</v>
      </c>
      <c r="I134" s="16">
        <f t="shared" si="4"/>
        <v>1</v>
      </c>
      <c r="J134" s="16">
        <v>1</v>
      </c>
      <c r="K134" s="17"/>
      <c r="L134" s="18"/>
      <c r="M134" s="19"/>
      <c r="N134" s="20"/>
      <c r="O134" s="20"/>
      <c r="P134" s="21"/>
      <c r="Q134" s="15"/>
      <c r="R134" s="51" t="str">
        <f t="shared" si="5"/>
        <v>DENTRO DO PRAZO</v>
      </c>
      <c r="S134" s="82"/>
      <c r="T134" s="49" t="s">
        <v>27</v>
      </c>
      <c r="U134" s="83">
        <v>1.38888888888889E-3</v>
      </c>
    </row>
    <row r="135" spans="1:21" x14ac:dyDescent="0.2">
      <c r="A135" s="72">
        <v>46204</v>
      </c>
      <c r="B135" s="73">
        <v>90463</v>
      </c>
      <c r="C135" s="74" t="s">
        <v>37</v>
      </c>
      <c r="D135" s="75" t="s">
        <v>25</v>
      </c>
      <c r="E135" s="76">
        <v>46211.447916666701</v>
      </c>
      <c r="F135" s="77">
        <v>46211.53125</v>
      </c>
      <c r="G135" s="77">
        <v>46211.45</v>
      </c>
      <c r="H135" s="78" t="s">
        <v>26</v>
      </c>
      <c r="I135" s="16">
        <f t="shared" si="4"/>
        <v>1</v>
      </c>
      <c r="J135" s="16">
        <v>1</v>
      </c>
      <c r="K135" s="17"/>
      <c r="L135" s="18"/>
      <c r="M135" s="19"/>
      <c r="N135" s="20"/>
      <c r="O135" s="20"/>
      <c r="P135" s="21"/>
      <c r="Q135" s="15"/>
      <c r="R135" s="51" t="str">
        <f t="shared" si="5"/>
        <v>DENTRO DO PRAZO</v>
      </c>
      <c r="S135" s="82"/>
      <c r="T135" s="49" t="s">
        <v>27</v>
      </c>
      <c r="U135" s="83">
        <v>2.0833333333333298E-3</v>
      </c>
    </row>
    <row r="136" spans="1:21" x14ac:dyDescent="0.2">
      <c r="A136" s="72">
        <v>46204</v>
      </c>
      <c r="B136" s="73">
        <v>90474</v>
      </c>
      <c r="C136" s="74" t="s">
        <v>37</v>
      </c>
      <c r="D136" s="75" t="s">
        <v>25</v>
      </c>
      <c r="E136" s="76">
        <v>46211.46875</v>
      </c>
      <c r="F136" s="77">
        <v>46211.552083333299</v>
      </c>
      <c r="G136" s="77">
        <v>46211.470833333296</v>
      </c>
      <c r="H136" s="78" t="s">
        <v>26</v>
      </c>
      <c r="I136" s="16">
        <f t="shared" si="4"/>
        <v>1</v>
      </c>
      <c r="J136" s="16">
        <v>1</v>
      </c>
      <c r="K136" s="17"/>
      <c r="L136" s="18"/>
      <c r="M136" s="19"/>
      <c r="N136" s="20"/>
      <c r="O136" s="20"/>
      <c r="P136" s="21"/>
      <c r="Q136" s="15"/>
      <c r="R136" s="51" t="str">
        <f t="shared" si="5"/>
        <v>DENTRO DO PRAZO</v>
      </c>
      <c r="S136" s="82"/>
      <c r="T136" s="49" t="s">
        <v>27</v>
      </c>
      <c r="U136" s="83">
        <v>2.0833333333333298E-3</v>
      </c>
    </row>
    <row r="137" spans="1:21" x14ac:dyDescent="0.2">
      <c r="A137" s="72">
        <v>46204</v>
      </c>
      <c r="B137" s="73">
        <v>90483</v>
      </c>
      <c r="C137" s="74" t="s">
        <v>37</v>
      </c>
      <c r="D137" s="75" t="s">
        <v>25</v>
      </c>
      <c r="E137" s="76">
        <v>46211.482638888898</v>
      </c>
      <c r="F137" s="77">
        <v>46211.565972222197</v>
      </c>
      <c r="G137" s="77">
        <v>46211.484722222202</v>
      </c>
      <c r="H137" s="78" t="s">
        <v>26</v>
      </c>
      <c r="I137" s="16">
        <f t="shared" si="4"/>
        <v>1</v>
      </c>
      <c r="J137" s="16">
        <v>1</v>
      </c>
      <c r="K137" s="17"/>
      <c r="L137" s="18"/>
      <c r="M137" s="19"/>
      <c r="N137" s="20"/>
      <c r="O137" s="20"/>
      <c r="P137" s="21"/>
      <c r="Q137" s="15"/>
      <c r="R137" s="51" t="str">
        <f t="shared" si="5"/>
        <v>DENTRO DO PRAZO</v>
      </c>
      <c r="S137" s="82"/>
      <c r="T137" s="49" t="s">
        <v>27</v>
      </c>
      <c r="U137" s="83">
        <v>2.0833333333333298E-3</v>
      </c>
    </row>
    <row r="138" spans="1:21" x14ac:dyDescent="0.2">
      <c r="A138" s="72">
        <v>46204</v>
      </c>
      <c r="B138" s="73">
        <v>90510</v>
      </c>
      <c r="C138" s="74" t="s">
        <v>37</v>
      </c>
      <c r="D138" s="75" t="s">
        <v>25</v>
      </c>
      <c r="E138" s="76">
        <v>46211.623611111099</v>
      </c>
      <c r="F138" s="77">
        <v>46211.706944444399</v>
      </c>
      <c r="G138" s="77">
        <v>46211.625694444498</v>
      </c>
      <c r="H138" s="78" t="s">
        <v>26</v>
      </c>
      <c r="I138" s="16">
        <f t="shared" si="4"/>
        <v>1</v>
      </c>
      <c r="J138" s="16">
        <v>1</v>
      </c>
      <c r="K138" s="17"/>
      <c r="L138" s="18"/>
      <c r="M138" s="19"/>
      <c r="N138" s="20"/>
      <c r="O138" s="20"/>
      <c r="P138" s="21"/>
      <c r="Q138" s="15"/>
      <c r="R138" s="51" t="str">
        <f t="shared" si="5"/>
        <v>DENTRO DO PRAZO</v>
      </c>
      <c r="S138" s="82"/>
      <c r="T138" s="49" t="s">
        <v>27</v>
      </c>
      <c r="U138" s="83">
        <v>2.0833333333333298E-3</v>
      </c>
    </row>
    <row r="139" spans="1:21" x14ac:dyDescent="0.2">
      <c r="A139" s="72">
        <v>46204</v>
      </c>
      <c r="B139" s="73">
        <v>90517</v>
      </c>
      <c r="C139" s="74" t="s">
        <v>32</v>
      </c>
      <c r="D139" s="75" t="s">
        <v>25</v>
      </c>
      <c r="E139" s="76">
        <v>46211.6381944444</v>
      </c>
      <c r="F139" s="77">
        <v>46217.702083333301</v>
      </c>
      <c r="G139" s="77">
        <v>46217.671527777798</v>
      </c>
      <c r="H139" s="78" t="s">
        <v>26</v>
      </c>
      <c r="I139" s="16">
        <f t="shared" si="4"/>
        <v>1</v>
      </c>
      <c r="J139" s="16">
        <v>1</v>
      </c>
      <c r="K139" s="17"/>
      <c r="L139" s="18"/>
      <c r="M139" s="19"/>
      <c r="N139" s="20"/>
      <c r="O139" s="20"/>
      <c r="P139" s="21"/>
      <c r="Q139" s="15"/>
      <c r="R139" s="51" t="str">
        <f t="shared" si="5"/>
        <v>DENTRO DO PRAZO</v>
      </c>
      <c r="S139" s="82"/>
      <c r="T139" s="49" t="s">
        <v>29</v>
      </c>
      <c r="U139" s="83">
        <v>6.0333333333333297</v>
      </c>
    </row>
    <row r="140" spans="1:21" x14ac:dyDescent="0.2">
      <c r="A140" s="72">
        <v>46204</v>
      </c>
      <c r="B140" s="73">
        <v>90527</v>
      </c>
      <c r="C140" s="74" t="s">
        <v>37</v>
      </c>
      <c r="D140" s="75" t="s">
        <v>25</v>
      </c>
      <c r="E140" s="76">
        <v>46211.661805555603</v>
      </c>
      <c r="F140" s="77">
        <v>46211.745138888902</v>
      </c>
      <c r="G140" s="77">
        <v>46211.663888888899</v>
      </c>
      <c r="H140" s="78" t="s">
        <v>26</v>
      </c>
      <c r="I140" s="16">
        <f t="shared" si="4"/>
        <v>1</v>
      </c>
      <c r="J140" s="16">
        <v>1</v>
      </c>
      <c r="K140" s="17"/>
      <c r="L140" s="18"/>
      <c r="M140" s="19"/>
      <c r="N140" s="20"/>
      <c r="O140" s="20"/>
      <c r="P140" s="21"/>
      <c r="Q140" s="15"/>
      <c r="R140" s="51" t="str">
        <f t="shared" si="5"/>
        <v>DENTRO DO PRAZO</v>
      </c>
      <c r="S140" s="82"/>
      <c r="T140" s="49" t="s">
        <v>27</v>
      </c>
      <c r="U140" s="83">
        <v>2.0833333333333298E-3</v>
      </c>
    </row>
    <row r="141" spans="1:21" x14ac:dyDescent="0.2">
      <c r="A141" s="72">
        <v>46204</v>
      </c>
      <c r="B141" s="73">
        <v>90553</v>
      </c>
      <c r="C141" s="74" t="s">
        <v>37</v>
      </c>
      <c r="D141" s="75" t="s">
        <v>25</v>
      </c>
      <c r="E141" s="76">
        <v>46211.844444444498</v>
      </c>
      <c r="F141" s="77">
        <v>46212.458333333299</v>
      </c>
      <c r="G141" s="77">
        <v>46211.847222222197</v>
      </c>
      <c r="H141" s="78" t="s">
        <v>26</v>
      </c>
      <c r="I141" s="16">
        <f t="shared" si="4"/>
        <v>1</v>
      </c>
      <c r="J141" s="16">
        <v>1</v>
      </c>
      <c r="K141" s="17"/>
      <c r="L141" s="18"/>
      <c r="M141" s="19"/>
      <c r="N141" s="20"/>
      <c r="O141" s="20"/>
      <c r="P141" s="21"/>
      <c r="Q141" s="15"/>
      <c r="R141" s="51" t="str">
        <f t="shared" si="5"/>
        <v>DENTRO DO PRAZO</v>
      </c>
      <c r="S141" s="82"/>
      <c r="T141" s="49" t="s">
        <v>27</v>
      </c>
      <c r="U141" s="83">
        <v>2.7777777777777801E-3</v>
      </c>
    </row>
    <row r="142" spans="1:21" x14ac:dyDescent="0.2">
      <c r="A142" s="72">
        <v>46204</v>
      </c>
      <c r="B142" s="73">
        <v>90554</v>
      </c>
      <c r="C142" s="74" t="s">
        <v>37</v>
      </c>
      <c r="D142" s="75" t="s">
        <v>25</v>
      </c>
      <c r="E142" s="76">
        <v>46211.874305555597</v>
      </c>
      <c r="F142" s="77">
        <v>46212.458333333299</v>
      </c>
      <c r="G142" s="77">
        <v>46211.876388888901</v>
      </c>
      <c r="H142" s="78" t="s">
        <v>26</v>
      </c>
      <c r="I142" s="16">
        <f t="shared" si="4"/>
        <v>1</v>
      </c>
      <c r="J142" s="16">
        <v>1</v>
      </c>
      <c r="K142" s="17"/>
      <c r="L142" s="18"/>
      <c r="M142" s="19"/>
      <c r="N142" s="20"/>
      <c r="O142" s="20"/>
      <c r="P142" s="21"/>
      <c r="Q142" s="15"/>
      <c r="R142" s="51" t="str">
        <f t="shared" si="5"/>
        <v>DENTRO DO PRAZO</v>
      </c>
      <c r="S142" s="82"/>
      <c r="T142" s="49" t="s">
        <v>27</v>
      </c>
      <c r="U142" s="83">
        <v>2.0833333333333298E-3</v>
      </c>
    </row>
    <row r="143" spans="1:21" x14ac:dyDescent="0.2">
      <c r="A143" s="72">
        <v>46204</v>
      </c>
      <c r="B143" s="73">
        <v>90555</v>
      </c>
      <c r="C143" s="74" t="s">
        <v>37</v>
      </c>
      <c r="D143" s="75" t="s">
        <v>25</v>
      </c>
      <c r="E143" s="76">
        <v>46211.988194444399</v>
      </c>
      <c r="F143" s="77">
        <v>46212.458333333299</v>
      </c>
      <c r="G143" s="77">
        <v>46211.990277777797</v>
      </c>
      <c r="H143" s="78" t="s">
        <v>26</v>
      </c>
      <c r="I143" s="16">
        <f t="shared" si="4"/>
        <v>1</v>
      </c>
      <c r="J143" s="16">
        <v>1</v>
      </c>
      <c r="K143" s="17"/>
      <c r="L143" s="18"/>
      <c r="M143" s="19"/>
      <c r="N143" s="20"/>
      <c r="O143" s="20"/>
      <c r="P143" s="21"/>
      <c r="Q143" s="15"/>
      <c r="R143" s="51" t="str">
        <f t="shared" si="5"/>
        <v>DENTRO DO PRAZO</v>
      </c>
      <c r="S143" s="82"/>
      <c r="T143" s="49" t="s">
        <v>27</v>
      </c>
      <c r="U143" s="83">
        <v>2.0833333333333298E-3</v>
      </c>
    </row>
    <row r="144" spans="1:21" x14ac:dyDescent="0.2">
      <c r="A144" s="72">
        <v>46204</v>
      </c>
      <c r="B144" s="73">
        <v>90556</v>
      </c>
      <c r="C144" s="74" t="s">
        <v>37</v>
      </c>
      <c r="D144" s="75" t="s">
        <v>25</v>
      </c>
      <c r="E144" s="76">
        <v>46212.063194444498</v>
      </c>
      <c r="F144" s="77">
        <v>46212.458333333299</v>
      </c>
      <c r="G144" s="77">
        <v>46212.065277777801</v>
      </c>
      <c r="H144" s="78" t="s">
        <v>26</v>
      </c>
      <c r="I144" s="16">
        <f t="shared" si="4"/>
        <v>1</v>
      </c>
      <c r="J144" s="16">
        <v>1</v>
      </c>
      <c r="K144" s="17"/>
      <c r="L144" s="18"/>
      <c r="M144" s="19"/>
      <c r="N144" s="20"/>
      <c r="O144" s="20"/>
      <c r="P144" s="21"/>
      <c r="Q144" s="15"/>
      <c r="R144" s="51" t="str">
        <f t="shared" si="5"/>
        <v>DENTRO DO PRAZO</v>
      </c>
      <c r="S144" s="82"/>
      <c r="T144" s="49" t="s">
        <v>27</v>
      </c>
      <c r="U144" s="83">
        <v>2.0833333333333298E-3</v>
      </c>
    </row>
    <row r="145" spans="1:21" x14ac:dyDescent="0.2">
      <c r="A145" s="72">
        <v>46204</v>
      </c>
      <c r="B145" s="73">
        <v>90557</v>
      </c>
      <c r="C145" s="74" t="s">
        <v>37</v>
      </c>
      <c r="D145" s="75" t="s">
        <v>25</v>
      </c>
      <c r="E145" s="76">
        <v>46212.068749999999</v>
      </c>
      <c r="F145" s="77">
        <v>46212.458333333299</v>
      </c>
      <c r="G145" s="77">
        <v>46212.070833333302</v>
      </c>
      <c r="H145" s="78" t="s">
        <v>26</v>
      </c>
      <c r="I145" s="16">
        <f t="shared" si="4"/>
        <v>1</v>
      </c>
      <c r="J145" s="16">
        <v>1</v>
      </c>
      <c r="K145" s="17"/>
      <c r="L145" s="18"/>
      <c r="M145" s="19"/>
      <c r="N145" s="20"/>
      <c r="O145" s="20"/>
      <c r="P145" s="21"/>
      <c r="Q145" s="15"/>
      <c r="R145" s="51" t="str">
        <f t="shared" si="5"/>
        <v>DENTRO DO PRAZO</v>
      </c>
      <c r="S145" s="82"/>
      <c r="T145" s="49" t="s">
        <v>27</v>
      </c>
      <c r="U145" s="83">
        <v>2.0833333333333298E-3</v>
      </c>
    </row>
    <row r="146" spans="1:21" x14ac:dyDescent="0.2">
      <c r="A146" s="72">
        <v>46204</v>
      </c>
      <c r="B146" s="73">
        <v>90558</v>
      </c>
      <c r="C146" s="74" t="s">
        <v>37</v>
      </c>
      <c r="D146" s="75" t="s">
        <v>25</v>
      </c>
      <c r="E146" s="76">
        <v>46212.088194444397</v>
      </c>
      <c r="F146" s="77">
        <v>46212.458333333299</v>
      </c>
      <c r="G146" s="77">
        <v>46212.090277777803</v>
      </c>
      <c r="H146" s="78" t="s">
        <v>26</v>
      </c>
      <c r="I146" s="16">
        <f t="shared" si="4"/>
        <v>1</v>
      </c>
      <c r="J146" s="16">
        <v>1</v>
      </c>
      <c r="K146" s="17"/>
      <c r="L146" s="18"/>
      <c r="M146" s="19"/>
      <c r="N146" s="20"/>
      <c r="O146" s="20"/>
      <c r="P146" s="21"/>
      <c r="Q146" s="15"/>
      <c r="R146" s="51" t="str">
        <f t="shared" si="5"/>
        <v>DENTRO DO PRAZO</v>
      </c>
      <c r="S146" s="82"/>
      <c r="T146" s="49" t="s">
        <v>27</v>
      </c>
      <c r="U146" s="83">
        <v>2.0833333333333298E-3</v>
      </c>
    </row>
    <row r="147" spans="1:21" x14ac:dyDescent="0.2">
      <c r="A147" s="72">
        <v>46204</v>
      </c>
      <c r="B147" s="73">
        <v>90559</v>
      </c>
      <c r="C147" s="74" t="s">
        <v>37</v>
      </c>
      <c r="D147" s="75" t="s">
        <v>25</v>
      </c>
      <c r="E147" s="76">
        <v>46212.127083333296</v>
      </c>
      <c r="F147" s="77">
        <v>46212.458333333299</v>
      </c>
      <c r="G147" s="77">
        <v>46212.129166666702</v>
      </c>
      <c r="H147" s="78" t="s">
        <v>26</v>
      </c>
      <c r="I147" s="16">
        <f t="shared" si="4"/>
        <v>1</v>
      </c>
      <c r="J147" s="16">
        <v>1</v>
      </c>
      <c r="K147" s="17"/>
      <c r="L147" s="18"/>
      <c r="M147" s="19"/>
      <c r="N147" s="20"/>
      <c r="O147" s="20"/>
      <c r="P147" s="21"/>
      <c r="Q147" s="15"/>
      <c r="R147" s="51" t="str">
        <f t="shared" si="5"/>
        <v>DENTRO DO PRAZO</v>
      </c>
      <c r="S147" s="82"/>
      <c r="T147" s="49" t="s">
        <v>27</v>
      </c>
      <c r="U147" s="83">
        <v>2.0833333333333298E-3</v>
      </c>
    </row>
    <row r="148" spans="1:21" x14ac:dyDescent="0.2">
      <c r="A148" s="72">
        <v>46204</v>
      </c>
      <c r="B148" s="73">
        <v>90560</v>
      </c>
      <c r="C148" s="74" t="s">
        <v>37</v>
      </c>
      <c r="D148" s="75" t="s">
        <v>25</v>
      </c>
      <c r="E148" s="76">
        <v>46212.135416666701</v>
      </c>
      <c r="F148" s="77">
        <v>46212.458333333299</v>
      </c>
      <c r="G148" s="77">
        <v>46212.137499999997</v>
      </c>
      <c r="H148" s="78" t="s">
        <v>26</v>
      </c>
      <c r="I148" s="16">
        <f t="shared" si="4"/>
        <v>1</v>
      </c>
      <c r="J148" s="16">
        <v>1</v>
      </c>
      <c r="K148" s="17"/>
      <c r="L148" s="18"/>
      <c r="M148" s="19"/>
      <c r="N148" s="20"/>
      <c r="O148" s="20"/>
      <c r="P148" s="21"/>
      <c r="Q148" s="15"/>
      <c r="R148" s="51" t="str">
        <f t="shared" si="5"/>
        <v>DENTRO DO PRAZO</v>
      </c>
      <c r="S148" s="82"/>
      <c r="T148" s="49" t="s">
        <v>27</v>
      </c>
      <c r="U148" s="83">
        <v>2.0833333333333298E-3</v>
      </c>
    </row>
    <row r="149" spans="1:21" x14ac:dyDescent="0.2">
      <c r="A149" s="72">
        <v>46204</v>
      </c>
      <c r="B149" s="73">
        <v>90561</v>
      </c>
      <c r="C149" s="74" t="s">
        <v>37</v>
      </c>
      <c r="D149" s="75" t="s">
        <v>25</v>
      </c>
      <c r="E149" s="76">
        <v>46212.175000000003</v>
      </c>
      <c r="F149" s="77">
        <v>46212.458333333299</v>
      </c>
      <c r="G149" s="77">
        <v>46212.177083333299</v>
      </c>
      <c r="H149" s="78" t="s">
        <v>26</v>
      </c>
      <c r="I149" s="16">
        <f t="shared" si="4"/>
        <v>1</v>
      </c>
      <c r="J149" s="16">
        <v>1</v>
      </c>
      <c r="K149" s="17"/>
      <c r="L149" s="18"/>
      <c r="M149" s="19"/>
      <c r="N149" s="20"/>
      <c r="O149" s="20"/>
      <c r="P149" s="21"/>
      <c r="Q149" s="15"/>
      <c r="R149" s="51" t="str">
        <f t="shared" si="5"/>
        <v>DENTRO DO PRAZO</v>
      </c>
      <c r="S149" s="82"/>
      <c r="T149" s="49" t="s">
        <v>27</v>
      </c>
      <c r="U149" s="83">
        <v>2.0833333333333298E-3</v>
      </c>
    </row>
    <row r="150" spans="1:21" x14ac:dyDescent="0.2">
      <c r="A150" s="72">
        <v>46204</v>
      </c>
      <c r="B150" s="73">
        <v>90562</v>
      </c>
      <c r="C150" s="74" t="s">
        <v>37</v>
      </c>
      <c r="D150" s="75" t="s">
        <v>25</v>
      </c>
      <c r="E150" s="76">
        <v>46212.190972222197</v>
      </c>
      <c r="F150" s="77">
        <v>46212.458333333299</v>
      </c>
      <c r="G150" s="77">
        <v>46212.193055555603</v>
      </c>
      <c r="H150" s="78" t="s">
        <v>26</v>
      </c>
      <c r="I150" s="16">
        <f t="shared" si="4"/>
        <v>1</v>
      </c>
      <c r="J150" s="16">
        <v>1</v>
      </c>
      <c r="K150" s="17"/>
      <c r="L150" s="18"/>
      <c r="M150" s="19"/>
      <c r="N150" s="20"/>
      <c r="O150" s="20"/>
      <c r="P150" s="21"/>
      <c r="Q150" s="15"/>
      <c r="R150" s="51" t="str">
        <f t="shared" si="5"/>
        <v>DENTRO DO PRAZO</v>
      </c>
      <c r="S150" s="82"/>
      <c r="T150" s="49" t="s">
        <v>27</v>
      </c>
      <c r="U150" s="83">
        <v>2.0833333333333298E-3</v>
      </c>
    </row>
    <row r="151" spans="1:21" x14ac:dyDescent="0.2">
      <c r="A151" s="72">
        <v>46204</v>
      </c>
      <c r="B151" s="73">
        <v>90563</v>
      </c>
      <c r="C151" s="74" t="s">
        <v>37</v>
      </c>
      <c r="D151" s="75" t="s">
        <v>25</v>
      </c>
      <c r="E151" s="76">
        <v>46212.197916666701</v>
      </c>
      <c r="F151" s="77">
        <v>46212.458333333299</v>
      </c>
      <c r="G151" s="77">
        <v>46212.2</v>
      </c>
      <c r="H151" s="78" t="s">
        <v>26</v>
      </c>
      <c r="I151" s="16">
        <f t="shared" si="4"/>
        <v>1</v>
      </c>
      <c r="J151" s="16">
        <v>1</v>
      </c>
      <c r="K151" s="17"/>
      <c r="L151" s="18"/>
      <c r="M151" s="19"/>
      <c r="N151" s="20"/>
      <c r="O151" s="20"/>
      <c r="P151" s="21"/>
      <c r="Q151" s="15"/>
      <c r="R151" s="51" t="str">
        <f t="shared" si="5"/>
        <v>DENTRO DO PRAZO</v>
      </c>
      <c r="S151" s="82"/>
      <c r="T151" s="49" t="s">
        <v>27</v>
      </c>
      <c r="U151" s="83">
        <v>2.0833333333333298E-3</v>
      </c>
    </row>
    <row r="152" spans="1:21" x14ac:dyDescent="0.2">
      <c r="A152" s="72">
        <v>46204</v>
      </c>
      <c r="B152" s="73">
        <v>90564</v>
      </c>
      <c r="C152" s="74" t="s">
        <v>37</v>
      </c>
      <c r="D152" s="75" t="s">
        <v>25</v>
      </c>
      <c r="E152" s="76">
        <v>46212.203472222202</v>
      </c>
      <c r="F152" s="77">
        <v>46212.458333333299</v>
      </c>
      <c r="G152" s="77">
        <v>46212.2055555556</v>
      </c>
      <c r="H152" s="78" t="s">
        <v>26</v>
      </c>
      <c r="I152" s="16">
        <f t="shared" si="4"/>
        <v>1</v>
      </c>
      <c r="J152" s="16">
        <v>1</v>
      </c>
      <c r="K152" s="17"/>
      <c r="L152" s="18"/>
      <c r="M152" s="19"/>
      <c r="N152" s="20"/>
      <c r="O152" s="20"/>
      <c r="P152" s="21"/>
      <c r="Q152" s="15"/>
      <c r="R152" s="51" t="str">
        <f t="shared" si="5"/>
        <v>DENTRO DO PRAZO</v>
      </c>
      <c r="S152" s="82"/>
      <c r="T152" s="49" t="s">
        <v>27</v>
      </c>
      <c r="U152" s="83">
        <v>2.0833333333333298E-3</v>
      </c>
    </row>
    <row r="153" spans="1:21" x14ac:dyDescent="0.2">
      <c r="A153" s="72">
        <v>46204</v>
      </c>
      <c r="B153" s="73">
        <v>90565</v>
      </c>
      <c r="C153" s="74" t="s">
        <v>37</v>
      </c>
      <c r="D153" s="75" t="s">
        <v>25</v>
      </c>
      <c r="E153" s="76">
        <v>46212.206250000003</v>
      </c>
      <c r="F153" s="77">
        <v>46212.458333333299</v>
      </c>
      <c r="G153" s="77">
        <v>46212.2097222222</v>
      </c>
      <c r="H153" s="78" t="s">
        <v>26</v>
      </c>
      <c r="I153" s="16">
        <f t="shared" si="4"/>
        <v>1</v>
      </c>
      <c r="J153" s="16">
        <v>1</v>
      </c>
      <c r="K153" s="17"/>
      <c r="L153" s="18"/>
      <c r="M153" s="19"/>
      <c r="N153" s="20"/>
      <c r="O153" s="20"/>
      <c r="P153" s="21"/>
      <c r="Q153" s="15"/>
      <c r="R153" s="51" t="str">
        <f t="shared" si="5"/>
        <v>DENTRO DO PRAZO</v>
      </c>
      <c r="S153" s="82"/>
      <c r="T153" s="49" t="s">
        <v>27</v>
      </c>
      <c r="U153" s="83">
        <v>3.4722222222222199E-3</v>
      </c>
    </row>
    <row r="154" spans="1:21" x14ac:dyDescent="0.2">
      <c r="A154" s="72">
        <v>46204</v>
      </c>
      <c r="B154" s="73">
        <v>90566</v>
      </c>
      <c r="C154" s="74" t="s">
        <v>37</v>
      </c>
      <c r="D154" s="75" t="s">
        <v>25</v>
      </c>
      <c r="E154" s="76">
        <v>46212.217361111099</v>
      </c>
      <c r="F154" s="77">
        <v>46212.458333333299</v>
      </c>
      <c r="G154" s="77">
        <v>46212.219444444498</v>
      </c>
      <c r="H154" s="78" t="s">
        <v>26</v>
      </c>
      <c r="I154" s="16">
        <f t="shared" si="4"/>
        <v>1</v>
      </c>
      <c r="J154" s="16">
        <v>1</v>
      </c>
      <c r="K154" s="17"/>
      <c r="L154" s="18"/>
      <c r="M154" s="19"/>
      <c r="N154" s="20"/>
      <c r="O154" s="20"/>
      <c r="P154" s="21"/>
      <c r="Q154" s="15"/>
      <c r="R154" s="51" t="str">
        <f t="shared" si="5"/>
        <v>DENTRO DO PRAZO</v>
      </c>
      <c r="S154" s="82"/>
      <c r="T154" s="49" t="s">
        <v>27</v>
      </c>
      <c r="U154" s="83">
        <v>2.0833333333333298E-3</v>
      </c>
    </row>
    <row r="155" spans="1:21" x14ac:dyDescent="0.2">
      <c r="A155" s="72">
        <v>46204</v>
      </c>
      <c r="B155" s="73">
        <v>90567</v>
      </c>
      <c r="C155" s="74" t="s">
        <v>37</v>
      </c>
      <c r="D155" s="75" t="s">
        <v>25</v>
      </c>
      <c r="E155" s="76">
        <v>46212.25</v>
      </c>
      <c r="F155" s="77">
        <v>46212.458333333299</v>
      </c>
      <c r="G155" s="77">
        <v>46212.252083333296</v>
      </c>
      <c r="H155" s="78" t="s">
        <v>26</v>
      </c>
      <c r="I155" s="16">
        <f t="shared" si="4"/>
        <v>1</v>
      </c>
      <c r="J155" s="16">
        <v>1</v>
      </c>
      <c r="K155" s="17"/>
      <c r="L155" s="18"/>
      <c r="M155" s="19"/>
      <c r="N155" s="20"/>
      <c r="O155" s="20"/>
      <c r="P155" s="21"/>
      <c r="Q155" s="15"/>
      <c r="R155" s="51" t="str">
        <f t="shared" si="5"/>
        <v>DENTRO DO PRAZO</v>
      </c>
      <c r="S155" s="82"/>
      <c r="T155" s="49" t="s">
        <v>27</v>
      </c>
      <c r="U155" s="83">
        <v>2.0833333333333298E-3</v>
      </c>
    </row>
    <row r="156" spans="1:21" x14ac:dyDescent="0.2">
      <c r="A156" s="72">
        <v>46204</v>
      </c>
      <c r="B156" s="73">
        <v>90573</v>
      </c>
      <c r="C156" s="74" t="s">
        <v>30</v>
      </c>
      <c r="D156" s="75" t="s">
        <v>25</v>
      </c>
      <c r="E156" s="76">
        <v>46212.377083333296</v>
      </c>
      <c r="F156" s="77">
        <v>46212.460416666698</v>
      </c>
      <c r="G156" s="77">
        <v>46212.386805555601</v>
      </c>
      <c r="H156" s="78" t="s">
        <v>26</v>
      </c>
      <c r="I156" s="16">
        <f t="shared" si="4"/>
        <v>1</v>
      </c>
      <c r="J156" s="16">
        <v>1</v>
      </c>
      <c r="K156" s="17"/>
      <c r="L156" s="18"/>
      <c r="M156" s="19"/>
      <c r="N156" s="20"/>
      <c r="O156" s="20"/>
      <c r="P156" s="21"/>
      <c r="Q156" s="15"/>
      <c r="R156" s="51" t="str">
        <f t="shared" si="5"/>
        <v>DENTRO DO PRAZO</v>
      </c>
      <c r="S156" s="82"/>
      <c r="T156" s="49" t="s">
        <v>29</v>
      </c>
      <c r="U156" s="83">
        <v>9.7222222222222206E-3</v>
      </c>
    </row>
    <row r="157" spans="1:21" x14ac:dyDescent="0.2">
      <c r="A157" s="72">
        <v>46204</v>
      </c>
      <c r="B157" s="73">
        <v>90585</v>
      </c>
      <c r="C157" s="74" t="s">
        <v>32</v>
      </c>
      <c r="D157" s="75" t="s">
        <v>25</v>
      </c>
      <c r="E157" s="76">
        <v>46212.412499999999</v>
      </c>
      <c r="F157" s="77">
        <v>46212.495833333298</v>
      </c>
      <c r="G157" s="77">
        <v>46212.431944444397</v>
      </c>
      <c r="H157" s="78" t="s">
        <v>26</v>
      </c>
      <c r="I157" s="16">
        <f t="shared" si="4"/>
        <v>1</v>
      </c>
      <c r="J157" s="16">
        <v>1</v>
      </c>
      <c r="K157" s="17"/>
      <c r="L157" s="18"/>
      <c r="M157" s="19"/>
      <c r="N157" s="20"/>
      <c r="O157" s="20"/>
      <c r="P157" s="21"/>
      <c r="Q157" s="15"/>
      <c r="R157" s="51" t="str">
        <f t="shared" si="5"/>
        <v>DENTRO DO PRAZO</v>
      </c>
      <c r="S157" s="82"/>
      <c r="T157" s="49" t="s">
        <v>29</v>
      </c>
      <c r="U157" s="83">
        <v>1.94444444444444E-2</v>
      </c>
    </row>
    <row r="158" spans="1:21" x14ac:dyDescent="0.2">
      <c r="A158" s="72">
        <v>46204</v>
      </c>
      <c r="B158" s="73">
        <v>90587</v>
      </c>
      <c r="C158" s="74" t="s">
        <v>37</v>
      </c>
      <c r="D158" s="75" t="s">
        <v>25</v>
      </c>
      <c r="E158" s="76">
        <v>46212.422222222202</v>
      </c>
      <c r="F158" s="77">
        <v>46212.505555555603</v>
      </c>
      <c r="G158" s="77">
        <v>46212.4243055556</v>
      </c>
      <c r="H158" s="78" t="s">
        <v>26</v>
      </c>
      <c r="I158" s="16">
        <f t="shared" si="4"/>
        <v>1</v>
      </c>
      <c r="J158" s="16">
        <v>1</v>
      </c>
      <c r="K158" s="17"/>
      <c r="L158" s="18"/>
      <c r="M158" s="19"/>
      <c r="N158" s="20"/>
      <c r="O158" s="20"/>
      <c r="P158" s="21"/>
      <c r="Q158" s="15"/>
      <c r="R158" s="51" t="str">
        <f t="shared" si="5"/>
        <v>DENTRO DO PRAZO</v>
      </c>
      <c r="S158" s="82"/>
      <c r="T158" s="49" t="s">
        <v>27</v>
      </c>
      <c r="U158" s="83">
        <v>2.0833333333333298E-3</v>
      </c>
    </row>
    <row r="159" spans="1:21" x14ac:dyDescent="0.2">
      <c r="A159" s="72">
        <v>46204</v>
      </c>
      <c r="B159" s="73">
        <v>90591</v>
      </c>
      <c r="C159" s="74" t="s">
        <v>32</v>
      </c>
      <c r="D159" s="75" t="s">
        <v>25</v>
      </c>
      <c r="E159" s="76">
        <v>46212.426388888904</v>
      </c>
      <c r="F159" s="77">
        <v>46212.509722222203</v>
      </c>
      <c r="G159" s="77">
        <v>46212.456944444399</v>
      </c>
      <c r="H159" s="78" t="s">
        <v>26</v>
      </c>
      <c r="I159" s="16">
        <f t="shared" si="4"/>
        <v>1</v>
      </c>
      <c r="J159" s="16">
        <v>1</v>
      </c>
      <c r="K159" s="17"/>
      <c r="L159" s="18"/>
      <c r="M159" s="19"/>
      <c r="N159" s="20"/>
      <c r="O159" s="20"/>
      <c r="P159" s="21"/>
      <c r="Q159" s="15"/>
      <c r="R159" s="51" t="str">
        <f t="shared" si="5"/>
        <v>DENTRO DO PRAZO</v>
      </c>
      <c r="S159" s="82"/>
      <c r="T159" s="49" t="s">
        <v>29</v>
      </c>
      <c r="U159" s="83">
        <v>3.05555555555556E-2</v>
      </c>
    </row>
    <row r="160" spans="1:21" x14ac:dyDescent="0.2">
      <c r="A160" s="72">
        <v>46204</v>
      </c>
      <c r="B160" s="73">
        <v>90595</v>
      </c>
      <c r="C160" s="74" t="s">
        <v>33</v>
      </c>
      <c r="D160" s="75" t="s">
        <v>25</v>
      </c>
      <c r="E160" s="76">
        <v>46212.434027777803</v>
      </c>
      <c r="F160" s="77">
        <v>46212.517361111102</v>
      </c>
      <c r="G160" s="77">
        <v>46212.436111111099</v>
      </c>
      <c r="H160" s="78" t="s">
        <v>26</v>
      </c>
      <c r="I160" s="16">
        <f t="shared" si="4"/>
        <v>1</v>
      </c>
      <c r="J160" s="16">
        <v>1</v>
      </c>
      <c r="K160" s="17"/>
      <c r="L160" s="18"/>
      <c r="M160" s="19"/>
      <c r="N160" s="20"/>
      <c r="O160" s="20"/>
      <c r="P160" s="21"/>
      <c r="Q160" s="15"/>
      <c r="R160" s="51" t="str">
        <f t="shared" si="5"/>
        <v>DENTRO DO PRAZO</v>
      </c>
      <c r="S160" s="82"/>
      <c r="T160" s="49" t="s">
        <v>34</v>
      </c>
      <c r="U160" s="83">
        <v>2.0833333333333298E-3</v>
      </c>
    </row>
    <row r="161" spans="1:21" x14ac:dyDescent="0.2">
      <c r="A161" s="72">
        <v>46204</v>
      </c>
      <c r="B161" s="73">
        <v>90626</v>
      </c>
      <c r="C161" s="74" t="s">
        <v>42</v>
      </c>
      <c r="D161" s="75" t="s">
        <v>25</v>
      </c>
      <c r="E161" s="76">
        <v>46212.492361111101</v>
      </c>
      <c r="F161" s="77">
        <v>46212.5756944444</v>
      </c>
      <c r="G161" s="77">
        <v>46212.525694444397</v>
      </c>
      <c r="H161" s="78" t="s">
        <v>26</v>
      </c>
      <c r="I161" s="16">
        <f t="shared" si="4"/>
        <v>1</v>
      </c>
      <c r="J161" s="16">
        <v>1</v>
      </c>
      <c r="K161" s="17"/>
      <c r="L161" s="18"/>
      <c r="M161" s="19"/>
      <c r="N161" s="20"/>
      <c r="O161" s="20"/>
      <c r="P161" s="21"/>
      <c r="Q161" s="15"/>
      <c r="R161" s="51" t="str">
        <f t="shared" si="5"/>
        <v>DENTRO DO PRAZO</v>
      </c>
      <c r="S161" s="82"/>
      <c r="T161" s="49" t="s">
        <v>29</v>
      </c>
      <c r="U161" s="83">
        <v>3.3333333333333298E-2</v>
      </c>
    </row>
    <row r="162" spans="1:21" x14ac:dyDescent="0.2">
      <c r="A162" s="72">
        <v>46204</v>
      </c>
      <c r="B162" s="73">
        <v>90633</v>
      </c>
      <c r="C162" s="74" t="s">
        <v>41</v>
      </c>
      <c r="D162" s="75" t="s">
        <v>25</v>
      </c>
      <c r="E162" s="76">
        <v>46212.516666666699</v>
      </c>
      <c r="F162" s="77">
        <v>46212.6</v>
      </c>
      <c r="G162" s="77">
        <v>46212.524305555598</v>
      </c>
      <c r="H162" s="78" t="s">
        <v>26</v>
      </c>
      <c r="I162" s="16">
        <f t="shared" si="4"/>
        <v>1</v>
      </c>
      <c r="J162" s="16">
        <v>1</v>
      </c>
      <c r="K162" s="17"/>
      <c r="L162" s="18"/>
      <c r="M162" s="19"/>
      <c r="N162" s="20"/>
      <c r="O162" s="20"/>
      <c r="P162" s="21"/>
      <c r="Q162" s="15"/>
      <c r="R162" s="51" t="str">
        <f t="shared" si="5"/>
        <v>DENTRO DO PRAZO</v>
      </c>
      <c r="S162" s="82"/>
      <c r="T162" s="49" t="s">
        <v>29</v>
      </c>
      <c r="U162" s="83">
        <v>7.6388888888888904E-3</v>
      </c>
    </row>
    <row r="163" spans="1:21" x14ac:dyDescent="0.2">
      <c r="A163" s="72">
        <v>46204</v>
      </c>
      <c r="B163" s="73">
        <v>90663</v>
      </c>
      <c r="C163" s="74" t="s">
        <v>37</v>
      </c>
      <c r="D163" s="75" t="s">
        <v>25</v>
      </c>
      <c r="E163" s="76">
        <v>46212.629861111098</v>
      </c>
      <c r="F163" s="77">
        <v>46212.713194444397</v>
      </c>
      <c r="G163" s="77">
        <v>46212.631944444503</v>
      </c>
      <c r="H163" s="78" t="s">
        <v>26</v>
      </c>
      <c r="I163" s="16">
        <f t="shared" si="4"/>
        <v>1</v>
      </c>
      <c r="J163" s="16">
        <v>1</v>
      </c>
      <c r="K163" s="17"/>
      <c r="L163" s="18"/>
      <c r="M163" s="19"/>
      <c r="N163" s="20"/>
      <c r="O163" s="20"/>
      <c r="P163" s="21"/>
      <c r="Q163" s="15"/>
      <c r="R163" s="51" t="str">
        <f t="shared" si="5"/>
        <v>DENTRO DO PRAZO</v>
      </c>
      <c r="S163" s="82"/>
      <c r="T163" s="49" t="s">
        <v>27</v>
      </c>
      <c r="U163" s="83">
        <v>2.0833333333333298E-3</v>
      </c>
    </row>
    <row r="164" spans="1:21" x14ac:dyDescent="0.2">
      <c r="A164" s="72">
        <v>46204</v>
      </c>
      <c r="B164" s="73">
        <v>90665</v>
      </c>
      <c r="C164" s="74" t="s">
        <v>37</v>
      </c>
      <c r="D164" s="75" t="s">
        <v>25</v>
      </c>
      <c r="E164" s="76">
        <v>46212.635416666701</v>
      </c>
      <c r="F164" s="77">
        <v>46212.71875</v>
      </c>
      <c r="G164" s="77">
        <v>46212.636805555601</v>
      </c>
      <c r="H164" s="78" t="s">
        <v>26</v>
      </c>
      <c r="I164" s="16">
        <f t="shared" si="4"/>
        <v>1</v>
      </c>
      <c r="J164" s="16">
        <v>1</v>
      </c>
      <c r="K164" s="17"/>
      <c r="L164" s="18"/>
      <c r="M164" s="19"/>
      <c r="N164" s="20"/>
      <c r="O164" s="20"/>
      <c r="P164" s="21"/>
      <c r="Q164" s="15"/>
      <c r="R164" s="51" t="str">
        <f t="shared" si="5"/>
        <v>DENTRO DO PRAZO</v>
      </c>
      <c r="S164" s="82"/>
      <c r="T164" s="49" t="s">
        <v>27</v>
      </c>
      <c r="U164" s="83">
        <v>1.38888888888889E-3</v>
      </c>
    </row>
    <row r="165" spans="1:21" x14ac:dyDescent="0.2">
      <c r="A165" s="72">
        <v>46204</v>
      </c>
      <c r="B165" s="73">
        <v>90668</v>
      </c>
      <c r="C165" s="74" t="s">
        <v>38</v>
      </c>
      <c r="D165" s="75" t="s">
        <v>25</v>
      </c>
      <c r="E165" s="76">
        <v>46212.641666666699</v>
      </c>
      <c r="F165" s="77">
        <v>46212.724999999999</v>
      </c>
      <c r="G165" s="77">
        <v>46212.682638888902</v>
      </c>
      <c r="H165" s="78" t="s">
        <v>26</v>
      </c>
      <c r="I165" s="16">
        <f t="shared" si="4"/>
        <v>1</v>
      </c>
      <c r="J165" s="16">
        <v>1</v>
      </c>
      <c r="K165" s="17"/>
      <c r="L165" s="18"/>
      <c r="M165" s="19"/>
      <c r="N165" s="20"/>
      <c r="O165" s="20"/>
      <c r="P165" s="21"/>
      <c r="Q165" s="15"/>
      <c r="R165" s="51" t="str">
        <f t="shared" si="5"/>
        <v>DENTRO DO PRAZO</v>
      </c>
      <c r="S165" s="82"/>
      <c r="T165" s="49" t="s">
        <v>27</v>
      </c>
      <c r="U165" s="83">
        <v>4.0972222222222202E-2</v>
      </c>
    </row>
    <row r="166" spans="1:21" x14ac:dyDescent="0.2">
      <c r="A166" s="72">
        <v>46204</v>
      </c>
      <c r="B166" s="73">
        <v>90670</v>
      </c>
      <c r="C166" s="74" t="s">
        <v>38</v>
      </c>
      <c r="D166" s="75" t="s">
        <v>25</v>
      </c>
      <c r="E166" s="76">
        <v>46212.642361111102</v>
      </c>
      <c r="F166" s="77">
        <v>46212.725694444503</v>
      </c>
      <c r="G166" s="77">
        <v>46212.684027777803</v>
      </c>
      <c r="H166" s="78" t="s">
        <v>26</v>
      </c>
      <c r="I166" s="16">
        <f t="shared" si="4"/>
        <v>1</v>
      </c>
      <c r="J166" s="16">
        <v>1</v>
      </c>
      <c r="K166" s="17"/>
      <c r="L166" s="18"/>
      <c r="M166" s="19"/>
      <c r="N166" s="20"/>
      <c r="O166" s="20"/>
      <c r="P166" s="21"/>
      <c r="Q166" s="15"/>
      <c r="R166" s="51" t="str">
        <f t="shared" si="5"/>
        <v>DENTRO DO PRAZO</v>
      </c>
      <c r="S166" s="82"/>
      <c r="T166" s="49" t="s">
        <v>27</v>
      </c>
      <c r="U166" s="83">
        <v>4.1666666666666699E-2</v>
      </c>
    </row>
    <row r="167" spans="1:21" x14ac:dyDescent="0.2">
      <c r="A167" s="72">
        <v>46204</v>
      </c>
      <c r="B167" s="73">
        <v>90674</v>
      </c>
      <c r="C167" s="74" t="s">
        <v>37</v>
      </c>
      <c r="D167" s="75" t="s">
        <v>25</v>
      </c>
      <c r="E167" s="76">
        <v>46212.6472222222</v>
      </c>
      <c r="F167" s="77">
        <v>46212.730555555601</v>
      </c>
      <c r="G167" s="77">
        <v>46212.649305555598</v>
      </c>
      <c r="H167" s="78" t="s">
        <v>26</v>
      </c>
      <c r="I167" s="16">
        <f t="shared" si="4"/>
        <v>1</v>
      </c>
      <c r="J167" s="16">
        <v>1</v>
      </c>
      <c r="K167" s="17"/>
      <c r="L167" s="18"/>
      <c r="M167" s="19"/>
      <c r="N167" s="20"/>
      <c r="O167" s="20"/>
      <c r="P167" s="21"/>
      <c r="Q167" s="15"/>
      <c r="R167" s="51" t="str">
        <f t="shared" si="5"/>
        <v>DENTRO DO PRAZO</v>
      </c>
      <c r="S167" s="82"/>
      <c r="T167" s="49" t="s">
        <v>27</v>
      </c>
      <c r="U167" s="83">
        <v>2.0833333333333298E-3</v>
      </c>
    </row>
    <row r="168" spans="1:21" x14ac:dyDescent="0.2">
      <c r="A168" s="72">
        <v>46204</v>
      </c>
      <c r="B168" s="73">
        <v>90676</v>
      </c>
      <c r="C168" s="74" t="s">
        <v>37</v>
      </c>
      <c r="D168" s="75" t="s">
        <v>25</v>
      </c>
      <c r="E168" s="76">
        <v>46212.65</v>
      </c>
      <c r="F168" s="77">
        <v>46212.733333333301</v>
      </c>
      <c r="G168" s="77">
        <v>46212.652083333298</v>
      </c>
      <c r="H168" s="78" t="s">
        <v>26</v>
      </c>
      <c r="I168" s="16">
        <f t="shared" si="4"/>
        <v>1</v>
      </c>
      <c r="J168" s="16">
        <v>1</v>
      </c>
      <c r="K168" s="17"/>
      <c r="L168" s="18"/>
      <c r="M168" s="19"/>
      <c r="N168" s="20"/>
      <c r="O168" s="20"/>
      <c r="P168" s="21"/>
      <c r="Q168" s="15"/>
      <c r="R168" s="51" t="str">
        <f t="shared" si="5"/>
        <v>DENTRO DO PRAZO</v>
      </c>
      <c r="S168" s="82"/>
      <c r="T168" s="49" t="s">
        <v>27</v>
      </c>
      <c r="U168" s="83">
        <v>2.0833333333333298E-3</v>
      </c>
    </row>
    <row r="169" spans="1:21" x14ac:dyDescent="0.2">
      <c r="A169" s="72">
        <v>46204</v>
      </c>
      <c r="B169" s="73">
        <v>90682</v>
      </c>
      <c r="C169" s="74" t="s">
        <v>37</v>
      </c>
      <c r="D169" s="75" t="s">
        <v>25</v>
      </c>
      <c r="E169" s="76">
        <v>46212.659027777801</v>
      </c>
      <c r="F169" s="77">
        <v>46212.742361111101</v>
      </c>
      <c r="G169" s="77">
        <v>46212.684722222199</v>
      </c>
      <c r="H169" s="78" t="s">
        <v>26</v>
      </c>
      <c r="I169" s="16">
        <f t="shared" si="4"/>
        <v>1</v>
      </c>
      <c r="J169" s="16">
        <v>1</v>
      </c>
      <c r="K169" s="17"/>
      <c r="L169" s="18"/>
      <c r="M169" s="19"/>
      <c r="N169" s="20"/>
      <c r="O169" s="20"/>
      <c r="P169" s="21"/>
      <c r="Q169" s="15"/>
      <c r="R169" s="51" t="str">
        <f t="shared" si="5"/>
        <v>DENTRO DO PRAZO</v>
      </c>
      <c r="S169" s="82"/>
      <c r="T169" s="49" t="s">
        <v>27</v>
      </c>
      <c r="U169" s="83">
        <v>2.5694444444444402E-2</v>
      </c>
    </row>
    <row r="170" spans="1:21" x14ac:dyDescent="0.2">
      <c r="A170" s="72">
        <v>46204</v>
      </c>
      <c r="B170" s="73">
        <v>90683</v>
      </c>
      <c r="C170" s="74" t="s">
        <v>37</v>
      </c>
      <c r="D170" s="75" t="s">
        <v>25</v>
      </c>
      <c r="E170" s="76">
        <v>46212.659027777801</v>
      </c>
      <c r="F170" s="77">
        <v>46212.742361111101</v>
      </c>
      <c r="G170" s="77">
        <v>46212.684722222199</v>
      </c>
      <c r="H170" s="78" t="s">
        <v>26</v>
      </c>
      <c r="I170" s="16">
        <f t="shared" si="4"/>
        <v>1</v>
      </c>
      <c r="J170" s="16">
        <v>1</v>
      </c>
      <c r="K170" s="17"/>
      <c r="L170" s="18"/>
      <c r="M170" s="19"/>
      <c r="N170" s="20"/>
      <c r="O170" s="20"/>
      <c r="P170" s="21"/>
      <c r="Q170" s="15"/>
      <c r="R170" s="51" t="str">
        <f t="shared" si="5"/>
        <v>DENTRO DO PRAZO</v>
      </c>
      <c r="S170" s="82"/>
      <c r="T170" s="49" t="s">
        <v>27</v>
      </c>
      <c r="U170" s="83">
        <v>2.5694444444444402E-2</v>
      </c>
    </row>
    <row r="171" spans="1:21" x14ac:dyDescent="0.2">
      <c r="A171" s="72">
        <v>46204</v>
      </c>
      <c r="B171" s="73">
        <v>90684</v>
      </c>
      <c r="C171" s="74" t="s">
        <v>37</v>
      </c>
      <c r="D171" s="75" t="s">
        <v>25</v>
      </c>
      <c r="E171" s="76">
        <v>46212.659722222197</v>
      </c>
      <c r="F171" s="77">
        <v>46212.743055555598</v>
      </c>
      <c r="G171" s="77">
        <v>46212.684722222199</v>
      </c>
      <c r="H171" s="78" t="s">
        <v>26</v>
      </c>
      <c r="I171" s="16">
        <f t="shared" si="4"/>
        <v>1</v>
      </c>
      <c r="J171" s="16">
        <v>1</v>
      </c>
      <c r="K171" s="17"/>
      <c r="L171" s="18"/>
      <c r="M171" s="19"/>
      <c r="N171" s="20"/>
      <c r="O171" s="20"/>
      <c r="P171" s="21"/>
      <c r="Q171" s="15"/>
      <c r="R171" s="51" t="str">
        <f t="shared" si="5"/>
        <v>DENTRO DO PRAZO</v>
      </c>
      <c r="S171" s="82"/>
      <c r="T171" s="49" t="s">
        <v>27</v>
      </c>
      <c r="U171" s="83">
        <v>2.5000000000000001E-2</v>
      </c>
    </row>
    <row r="172" spans="1:21" x14ac:dyDescent="0.2">
      <c r="A172" s="72">
        <v>46204</v>
      </c>
      <c r="B172" s="73">
        <v>90697</v>
      </c>
      <c r="C172" s="74" t="s">
        <v>42</v>
      </c>
      <c r="D172" s="75" t="s">
        <v>25</v>
      </c>
      <c r="E172" s="76">
        <v>46212.686111111099</v>
      </c>
      <c r="F172" s="77">
        <v>46212.769444444399</v>
      </c>
      <c r="G172" s="77">
        <v>46212.729861111096</v>
      </c>
      <c r="H172" s="78" t="s">
        <v>26</v>
      </c>
      <c r="I172" s="16">
        <f t="shared" si="4"/>
        <v>1</v>
      </c>
      <c r="J172" s="16">
        <v>1</v>
      </c>
      <c r="K172" s="17"/>
      <c r="L172" s="18"/>
      <c r="M172" s="19"/>
      <c r="N172" s="20"/>
      <c r="O172" s="20"/>
      <c r="P172" s="21"/>
      <c r="Q172" s="15"/>
      <c r="R172" s="51" t="str">
        <f t="shared" si="5"/>
        <v>DENTRO DO PRAZO</v>
      </c>
      <c r="S172" s="82"/>
      <c r="T172" s="49" t="s">
        <v>29</v>
      </c>
      <c r="U172" s="83">
        <v>4.3749999999999997E-2</v>
      </c>
    </row>
    <row r="173" spans="1:21" x14ac:dyDescent="0.2">
      <c r="A173" s="72">
        <v>46204</v>
      </c>
      <c r="B173" s="73">
        <v>90707</v>
      </c>
      <c r="C173" s="74" t="s">
        <v>37</v>
      </c>
      <c r="D173" s="75" t="s">
        <v>25</v>
      </c>
      <c r="E173" s="76">
        <v>46212.814583333296</v>
      </c>
      <c r="F173" s="77">
        <v>46213.458333333299</v>
      </c>
      <c r="G173" s="77">
        <v>46212.816666666702</v>
      </c>
      <c r="H173" s="78" t="s">
        <v>26</v>
      </c>
      <c r="I173" s="16">
        <f t="shared" si="4"/>
        <v>1</v>
      </c>
      <c r="J173" s="16">
        <v>1</v>
      </c>
      <c r="K173" s="17"/>
      <c r="L173" s="18"/>
      <c r="M173" s="19"/>
      <c r="N173" s="20"/>
      <c r="O173" s="20"/>
      <c r="P173" s="21"/>
      <c r="Q173" s="15"/>
      <c r="R173" s="51" t="str">
        <f t="shared" si="5"/>
        <v>DENTRO DO PRAZO</v>
      </c>
      <c r="S173" s="82"/>
      <c r="T173" s="49" t="s">
        <v>27</v>
      </c>
      <c r="U173" s="83">
        <v>2.0833333333333298E-3</v>
      </c>
    </row>
    <row r="174" spans="1:21" x14ac:dyDescent="0.2">
      <c r="A174" s="72">
        <v>46204</v>
      </c>
      <c r="B174" s="73">
        <v>90708</v>
      </c>
      <c r="C174" s="74" t="s">
        <v>37</v>
      </c>
      <c r="D174" s="75" t="s">
        <v>25</v>
      </c>
      <c r="E174" s="76">
        <v>46212.831250000003</v>
      </c>
      <c r="F174" s="77">
        <v>46213.458333333299</v>
      </c>
      <c r="G174" s="77">
        <v>46212.832638888904</v>
      </c>
      <c r="H174" s="78" t="s">
        <v>26</v>
      </c>
      <c r="I174" s="16">
        <f t="shared" si="4"/>
        <v>1</v>
      </c>
      <c r="J174" s="16">
        <v>1</v>
      </c>
      <c r="K174" s="17"/>
      <c r="L174" s="18"/>
      <c r="M174" s="19"/>
      <c r="N174" s="20"/>
      <c r="O174" s="20"/>
      <c r="P174" s="21"/>
      <c r="Q174" s="15"/>
      <c r="R174" s="51" t="str">
        <f t="shared" si="5"/>
        <v>DENTRO DO PRAZO</v>
      </c>
      <c r="S174" s="82"/>
      <c r="T174" s="49" t="s">
        <v>27</v>
      </c>
      <c r="U174" s="83">
        <v>1.38888888888889E-3</v>
      </c>
    </row>
    <row r="175" spans="1:21" x14ac:dyDescent="0.2">
      <c r="A175" s="72">
        <v>46204</v>
      </c>
      <c r="B175" s="73">
        <v>90709</v>
      </c>
      <c r="C175" s="74" t="s">
        <v>37</v>
      </c>
      <c r="D175" s="75" t="s">
        <v>25</v>
      </c>
      <c r="E175" s="76">
        <v>46212.870833333298</v>
      </c>
      <c r="F175" s="77">
        <v>46213.458333333299</v>
      </c>
      <c r="G175" s="77">
        <v>46212.872916666704</v>
      </c>
      <c r="H175" s="78" t="s">
        <v>26</v>
      </c>
      <c r="I175" s="16">
        <f t="shared" si="4"/>
        <v>1</v>
      </c>
      <c r="J175" s="16">
        <v>1</v>
      </c>
      <c r="K175" s="17"/>
      <c r="L175" s="18"/>
      <c r="M175" s="19"/>
      <c r="N175" s="20"/>
      <c r="O175" s="20"/>
      <c r="P175" s="21"/>
      <c r="Q175" s="15"/>
      <c r="R175" s="51" t="str">
        <f t="shared" si="5"/>
        <v>DENTRO DO PRAZO</v>
      </c>
      <c r="S175" s="82"/>
      <c r="T175" s="49" t="s">
        <v>27</v>
      </c>
      <c r="U175" s="83">
        <v>2.0833333333333298E-3</v>
      </c>
    </row>
    <row r="176" spans="1:21" x14ac:dyDescent="0.2">
      <c r="A176" s="72">
        <v>46204</v>
      </c>
      <c r="B176" s="73">
        <v>90711</v>
      </c>
      <c r="C176" s="74" t="s">
        <v>37</v>
      </c>
      <c r="D176" s="75" t="s">
        <v>25</v>
      </c>
      <c r="E176" s="76">
        <v>46213.03125</v>
      </c>
      <c r="F176" s="77">
        <v>46213.458333333299</v>
      </c>
      <c r="G176" s="77">
        <v>46213.033333333296</v>
      </c>
      <c r="H176" s="78" t="s">
        <v>26</v>
      </c>
      <c r="I176" s="16">
        <f t="shared" si="4"/>
        <v>1</v>
      </c>
      <c r="J176" s="16">
        <v>1</v>
      </c>
      <c r="K176" s="17"/>
      <c r="L176" s="18"/>
      <c r="M176" s="19"/>
      <c r="N176" s="20"/>
      <c r="O176" s="20"/>
      <c r="P176" s="21"/>
      <c r="Q176" s="15"/>
      <c r="R176" s="51" t="str">
        <f t="shared" si="5"/>
        <v>DENTRO DO PRAZO</v>
      </c>
      <c r="S176" s="82"/>
      <c r="T176" s="49" t="s">
        <v>27</v>
      </c>
      <c r="U176" s="83">
        <v>2.0833333333333298E-3</v>
      </c>
    </row>
    <row r="177" spans="1:21" x14ac:dyDescent="0.2">
      <c r="A177" s="72">
        <v>46204</v>
      </c>
      <c r="B177" s="73">
        <v>90712</v>
      </c>
      <c r="C177" s="74" t="s">
        <v>37</v>
      </c>
      <c r="D177" s="75" t="s">
        <v>25</v>
      </c>
      <c r="E177" s="76">
        <v>46213.056250000001</v>
      </c>
      <c r="F177" s="77">
        <v>46213.458333333299</v>
      </c>
      <c r="G177" s="77">
        <v>46213.057638888902</v>
      </c>
      <c r="H177" s="78" t="s">
        <v>26</v>
      </c>
      <c r="I177" s="16">
        <f t="shared" si="4"/>
        <v>1</v>
      </c>
      <c r="J177" s="16">
        <v>1</v>
      </c>
      <c r="K177" s="17"/>
      <c r="L177" s="18"/>
      <c r="M177" s="19"/>
      <c r="N177" s="20"/>
      <c r="O177" s="20"/>
      <c r="P177" s="21"/>
      <c r="Q177" s="15"/>
      <c r="R177" s="51" t="str">
        <f t="shared" si="5"/>
        <v>DENTRO DO PRAZO</v>
      </c>
      <c r="S177" s="82"/>
      <c r="T177" s="49" t="s">
        <v>27</v>
      </c>
      <c r="U177" s="83">
        <v>1.38888888888889E-3</v>
      </c>
    </row>
    <row r="178" spans="1:21" x14ac:dyDescent="0.2">
      <c r="A178" s="72">
        <v>46204</v>
      </c>
      <c r="B178" s="73">
        <v>90713</v>
      </c>
      <c r="C178" s="74" t="s">
        <v>37</v>
      </c>
      <c r="D178" s="75" t="s">
        <v>25</v>
      </c>
      <c r="E178" s="76">
        <v>46213.0715277778</v>
      </c>
      <c r="F178" s="77">
        <v>46213.458333333299</v>
      </c>
      <c r="G178" s="77">
        <v>46213.072916666701</v>
      </c>
      <c r="H178" s="78" t="s">
        <v>26</v>
      </c>
      <c r="I178" s="16">
        <f t="shared" si="4"/>
        <v>1</v>
      </c>
      <c r="J178" s="16">
        <v>1</v>
      </c>
      <c r="K178" s="17"/>
      <c r="L178" s="18"/>
      <c r="M178" s="19"/>
      <c r="N178" s="20"/>
      <c r="O178" s="20"/>
      <c r="P178" s="21"/>
      <c r="Q178" s="15"/>
      <c r="R178" s="51" t="str">
        <f t="shared" si="5"/>
        <v>DENTRO DO PRAZO</v>
      </c>
      <c r="S178" s="82"/>
      <c r="T178" s="49" t="s">
        <v>27</v>
      </c>
      <c r="U178" s="83">
        <v>1.38888888888889E-3</v>
      </c>
    </row>
    <row r="179" spans="1:21" x14ac:dyDescent="0.2">
      <c r="A179" s="72">
        <v>46204</v>
      </c>
      <c r="B179" s="73">
        <v>90714</v>
      </c>
      <c r="C179" s="74" t="s">
        <v>37</v>
      </c>
      <c r="D179" s="75" t="s">
        <v>25</v>
      </c>
      <c r="E179" s="76">
        <v>46213.088888888902</v>
      </c>
      <c r="F179" s="77">
        <v>46213.458333333299</v>
      </c>
      <c r="G179" s="77">
        <v>46213.090972222199</v>
      </c>
      <c r="H179" s="78" t="s">
        <v>26</v>
      </c>
      <c r="I179" s="16">
        <f t="shared" si="4"/>
        <v>1</v>
      </c>
      <c r="J179" s="16">
        <v>1</v>
      </c>
      <c r="K179" s="17"/>
      <c r="L179" s="18"/>
      <c r="M179" s="19"/>
      <c r="N179" s="20"/>
      <c r="O179" s="20"/>
      <c r="P179" s="21"/>
      <c r="Q179" s="15"/>
      <c r="R179" s="51" t="str">
        <f t="shared" si="5"/>
        <v>DENTRO DO PRAZO</v>
      </c>
      <c r="S179" s="82"/>
      <c r="T179" s="49" t="s">
        <v>27</v>
      </c>
      <c r="U179" s="83">
        <v>2.0833333333333298E-3</v>
      </c>
    </row>
    <row r="180" spans="1:21" x14ac:dyDescent="0.2">
      <c r="A180" s="72">
        <v>46204</v>
      </c>
      <c r="B180" s="73">
        <v>90715</v>
      </c>
      <c r="C180" s="74" t="s">
        <v>37</v>
      </c>
      <c r="D180" s="75" t="s">
        <v>25</v>
      </c>
      <c r="E180" s="76">
        <v>46213.110416666699</v>
      </c>
      <c r="F180" s="77">
        <v>46213.458333333299</v>
      </c>
      <c r="G180" s="77">
        <v>46213.112500000003</v>
      </c>
      <c r="H180" s="78" t="s">
        <v>26</v>
      </c>
      <c r="I180" s="16">
        <f t="shared" si="4"/>
        <v>1</v>
      </c>
      <c r="J180" s="16">
        <v>1</v>
      </c>
      <c r="K180" s="17"/>
      <c r="L180" s="18"/>
      <c r="M180" s="19"/>
      <c r="N180" s="20"/>
      <c r="O180" s="20"/>
      <c r="P180" s="21"/>
      <c r="Q180" s="15"/>
      <c r="R180" s="51" t="str">
        <f t="shared" si="5"/>
        <v>DENTRO DO PRAZO</v>
      </c>
      <c r="S180" s="82"/>
      <c r="T180" s="49" t="s">
        <v>27</v>
      </c>
      <c r="U180" s="83">
        <v>2.0833333333333298E-3</v>
      </c>
    </row>
    <row r="181" spans="1:21" x14ac:dyDescent="0.2">
      <c r="A181" s="72">
        <v>46204</v>
      </c>
      <c r="B181" s="73">
        <v>90716</v>
      </c>
      <c r="C181" s="74" t="s">
        <v>37</v>
      </c>
      <c r="D181" s="75" t="s">
        <v>25</v>
      </c>
      <c r="E181" s="76">
        <v>46213.117361111101</v>
      </c>
      <c r="F181" s="77">
        <v>46213.458333333299</v>
      </c>
      <c r="G181" s="77">
        <v>46213.119444444397</v>
      </c>
      <c r="H181" s="78" t="s">
        <v>26</v>
      </c>
      <c r="I181" s="16">
        <f t="shared" si="4"/>
        <v>1</v>
      </c>
      <c r="J181" s="16">
        <v>1</v>
      </c>
      <c r="K181" s="17"/>
      <c r="L181" s="18"/>
      <c r="M181" s="19"/>
      <c r="N181" s="20"/>
      <c r="O181" s="20"/>
      <c r="P181" s="21"/>
      <c r="Q181" s="15"/>
      <c r="R181" s="51" t="str">
        <f t="shared" si="5"/>
        <v>DENTRO DO PRAZO</v>
      </c>
      <c r="S181" s="82"/>
      <c r="T181" s="49" t="s">
        <v>27</v>
      </c>
      <c r="U181" s="83">
        <v>2.0833333333333298E-3</v>
      </c>
    </row>
    <row r="182" spans="1:21" x14ac:dyDescent="0.2">
      <c r="A182" s="72">
        <v>46204</v>
      </c>
      <c r="B182" s="73">
        <v>90717</v>
      </c>
      <c r="C182" s="74" t="s">
        <v>37</v>
      </c>
      <c r="D182" s="75" t="s">
        <v>25</v>
      </c>
      <c r="E182" s="76">
        <v>46213.150694444397</v>
      </c>
      <c r="F182" s="77">
        <v>46213.458333333299</v>
      </c>
      <c r="G182" s="77">
        <v>46213.152777777803</v>
      </c>
      <c r="H182" s="78" t="s">
        <v>26</v>
      </c>
      <c r="I182" s="16">
        <f t="shared" si="4"/>
        <v>1</v>
      </c>
      <c r="J182" s="16">
        <v>1</v>
      </c>
      <c r="K182" s="17"/>
      <c r="L182" s="18"/>
      <c r="M182" s="19"/>
      <c r="N182" s="20"/>
      <c r="O182" s="20"/>
      <c r="P182" s="21"/>
      <c r="Q182" s="15"/>
      <c r="R182" s="51" t="str">
        <f t="shared" si="5"/>
        <v>DENTRO DO PRAZO</v>
      </c>
      <c r="S182" s="82"/>
      <c r="T182" s="49" t="s">
        <v>27</v>
      </c>
      <c r="U182" s="83">
        <v>2.0833333333333298E-3</v>
      </c>
    </row>
    <row r="183" spans="1:21" x14ac:dyDescent="0.2">
      <c r="A183" s="72">
        <v>46204</v>
      </c>
      <c r="B183" s="73">
        <v>90718</v>
      </c>
      <c r="C183" s="74" t="s">
        <v>37</v>
      </c>
      <c r="D183" s="75" t="s">
        <v>25</v>
      </c>
      <c r="E183" s="76">
        <v>46213.182638888902</v>
      </c>
      <c r="F183" s="77">
        <v>46213.458333333299</v>
      </c>
      <c r="G183" s="77">
        <v>46213.184722222199</v>
      </c>
      <c r="H183" s="78" t="s">
        <v>26</v>
      </c>
      <c r="I183" s="16">
        <f t="shared" si="4"/>
        <v>1</v>
      </c>
      <c r="J183" s="16">
        <v>1</v>
      </c>
      <c r="K183" s="17"/>
      <c r="L183" s="18"/>
      <c r="M183" s="19"/>
      <c r="N183" s="20"/>
      <c r="O183" s="20"/>
      <c r="P183" s="21"/>
      <c r="Q183" s="15"/>
      <c r="R183" s="51" t="str">
        <f t="shared" si="5"/>
        <v>DENTRO DO PRAZO</v>
      </c>
      <c r="S183" s="82"/>
      <c r="T183" s="49" t="s">
        <v>27</v>
      </c>
      <c r="U183" s="83">
        <v>2.0833333333333298E-3</v>
      </c>
    </row>
    <row r="184" spans="1:21" x14ac:dyDescent="0.2">
      <c r="A184" s="72">
        <v>46204</v>
      </c>
      <c r="B184" s="73">
        <v>90719</v>
      </c>
      <c r="C184" s="74" t="s">
        <v>37</v>
      </c>
      <c r="D184" s="75" t="s">
        <v>25</v>
      </c>
      <c r="E184" s="76">
        <v>46213.190972222197</v>
      </c>
      <c r="F184" s="77">
        <v>46213.458333333299</v>
      </c>
      <c r="G184" s="77">
        <v>46213.194444444503</v>
      </c>
      <c r="H184" s="78" t="s">
        <v>26</v>
      </c>
      <c r="I184" s="16">
        <f t="shared" si="4"/>
        <v>1</v>
      </c>
      <c r="J184" s="16">
        <v>1</v>
      </c>
      <c r="K184" s="17"/>
      <c r="L184" s="18"/>
      <c r="M184" s="19"/>
      <c r="N184" s="20"/>
      <c r="O184" s="20"/>
      <c r="P184" s="21"/>
      <c r="Q184" s="15"/>
      <c r="R184" s="51" t="str">
        <f t="shared" si="5"/>
        <v>DENTRO DO PRAZO</v>
      </c>
      <c r="S184" s="82"/>
      <c r="T184" s="49" t="s">
        <v>27</v>
      </c>
      <c r="U184" s="83">
        <v>3.4722222222222199E-3</v>
      </c>
    </row>
    <row r="185" spans="1:21" x14ac:dyDescent="0.2">
      <c r="A185" s="72">
        <v>46204</v>
      </c>
      <c r="B185" s="73">
        <v>90720</v>
      </c>
      <c r="C185" s="74" t="s">
        <v>37</v>
      </c>
      <c r="D185" s="75" t="s">
        <v>25</v>
      </c>
      <c r="E185" s="76">
        <v>46213.197916666701</v>
      </c>
      <c r="F185" s="77">
        <v>46213.458333333299</v>
      </c>
      <c r="G185" s="77">
        <v>46213.2</v>
      </c>
      <c r="H185" s="78" t="s">
        <v>26</v>
      </c>
      <c r="I185" s="16">
        <f t="shared" si="4"/>
        <v>1</v>
      </c>
      <c r="J185" s="16">
        <v>1</v>
      </c>
      <c r="K185" s="17"/>
      <c r="L185" s="18"/>
      <c r="M185" s="19"/>
      <c r="N185" s="20"/>
      <c r="O185" s="20"/>
      <c r="P185" s="21"/>
      <c r="Q185" s="15"/>
      <c r="R185" s="51" t="str">
        <f t="shared" si="5"/>
        <v>DENTRO DO PRAZO</v>
      </c>
      <c r="S185" s="82"/>
      <c r="T185" s="49" t="s">
        <v>27</v>
      </c>
      <c r="U185" s="83">
        <v>2.0833333333333298E-3</v>
      </c>
    </row>
    <row r="186" spans="1:21" x14ac:dyDescent="0.2">
      <c r="A186" s="72">
        <v>46204</v>
      </c>
      <c r="B186" s="73">
        <v>90721</v>
      </c>
      <c r="C186" s="74" t="s">
        <v>37</v>
      </c>
      <c r="D186" s="75" t="s">
        <v>25</v>
      </c>
      <c r="E186" s="76">
        <v>46213.202083333301</v>
      </c>
      <c r="F186" s="77">
        <v>46213.458333333299</v>
      </c>
      <c r="G186" s="77">
        <v>46213.2055555556</v>
      </c>
      <c r="H186" s="78" t="s">
        <v>26</v>
      </c>
      <c r="I186" s="16">
        <f t="shared" si="4"/>
        <v>1</v>
      </c>
      <c r="J186" s="16">
        <v>1</v>
      </c>
      <c r="K186" s="17"/>
      <c r="L186" s="18"/>
      <c r="M186" s="19"/>
      <c r="N186" s="20"/>
      <c r="O186" s="20"/>
      <c r="P186" s="21"/>
      <c r="Q186" s="15"/>
      <c r="R186" s="51" t="str">
        <f t="shared" si="5"/>
        <v>DENTRO DO PRAZO</v>
      </c>
      <c r="S186" s="82"/>
      <c r="T186" s="49" t="s">
        <v>27</v>
      </c>
      <c r="U186" s="83">
        <v>3.4722222222222199E-3</v>
      </c>
    </row>
    <row r="187" spans="1:21" x14ac:dyDescent="0.2">
      <c r="A187" s="72">
        <v>46204</v>
      </c>
      <c r="B187" s="73">
        <v>90745</v>
      </c>
      <c r="C187" s="74" t="s">
        <v>41</v>
      </c>
      <c r="D187" s="75" t="s">
        <v>25</v>
      </c>
      <c r="E187" s="76">
        <v>46213.404861111099</v>
      </c>
      <c r="F187" s="77">
        <v>46213.676388888904</v>
      </c>
      <c r="G187" s="77">
        <v>46213.639583333301</v>
      </c>
      <c r="H187" s="78" t="s">
        <v>26</v>
      </c>
      <c r="I187" s="16">
        <f t="shared" si="4"/>
        <v>1</v>
      </c>
      <c r="J187" s="16">
        <v>1</v>
      </c>
      <c r="K187" s="17"/>
      <c r="L187" s="18"/>
      <c r="M187" s="19"/>
      <c r="N187" s="20"/>
      <c r="O187" s="20"/>
      <c r="P187" s="21"/>
      <c r="Q187" s="15"/>
      <c r="R187" s="51" t="str">
        <f t="shared" si="5"/>
        <v>DENTRO DO PRAZO</v>
      </c>
      <c r="S187" s="82"/>
      <c r="T187" s="49" t="s">
        <v>29</v>
      </c>
      <c r="U187" s="83">
        <v>0.234722222222222</v>
      </c>
    </row>
    <row r="188" spans="1:21" x14ac:dyDescent="0.2">
      <c r="A188" s="72">
        <v>46204</v>
      </c>
      <c r="B188" s="73">
        <v>90754</v>
      </c>
      <c r="C188" s="74" t="s">
        <v>43</v>
      </c>
      <c r="D188" s="75" t="s">
        <v>25</v>
      </c>
      <c r="E188" s="76">
        <v>46213.410416666702</v>
      </c>
      <c r="F188" s="77">
        <v>46216.618750000001</v>
      </c>
      <c r="G188" s="77">
        <v>46216.547916666699</v>
      </c>
      <c r="H188" s="78" t="s">
        <v>26</v>
      </c>
      <c r="I188" s="16">
        <f t="shared" si="4"/>
        <v>1</v>
      </c>
      <c r="J188" s="16">
        <v>1</v>
      </c>
      <c r="K188" s="17"/>
      <c r="L188" s="18"/>
      <c r="M188" s="19"/>
      <c r="N188" s="20"/>
      <c r="O188" s="20"/>
      <c r="P188" s="21"/>
      <c r="Q188" s="15"/>
      <c r="R188" s="51" t="str">
        <f t="shared" si="5"/>
        <v>DENTRO DO PRAZO</v>
      </c>
      <c r="S188" s="82"/>
      <c r="T188" s="49" t="s">
        <v>27</v>
      </c>
      <c r="U188" s="83">
        <v>3.1375000000000002</v>
      </c>
    </row>
    <row r="189" spans="1:21" x14ac:dyDescent="0.2">
      <c r="A189" s="72">
        <v>46204</v>
      </c>
      <c r="B189" s="73">
        <v>90763</v>
      </c>
      <c r="C189" s="74" t="s">
        <v>37</v>
      </c>
      <c r="D189" s="75" t="s">
        <v>25</v>
      </c>
      <c r="E189" s="76">
        <v>46213.427083333299</v>
      </c>
      <c r="F189" s="77">
        <v>46213.510416666701</v>
      </c>
      <c r="G189" s="77">
        <v>46213.429166666698</v>
      </c>
      <c r="H189" s="78" t="s">
        <v>26</v>
      </c>
      <c r="I189" s="16">
        <f t="shared" si="4"/>
        <v>1</v>
      </c>
      <c r="J189" s="16">
        <v>1</v>
      </c>
      <c r="K189" s="17"/>
      <c r="L189" s="18"/>
      <c r="M189" s="19"/>
      <c r="N189" s="20"/>
      <c r="O189" s="20"/>
      <c r="P189" s="21"/>
      <c r="Q189" s="15"/>
      <c r="R189" s="51" t="str">
        <f t="shared" si="5"/>
        <v>DENTRO DO PRAZO</v>
      </c>
      <c r="S189" s="82"/>
      <c r="T189" s="49" t="s">
        <v>27</v>
      </c>
      <c r="U189" s="83">
        <v>2.0833333333333298E-3</v>
      </c>
    </row>
    <row r="190" spans="1:21" x14ac:dyDescent="0.2">
      <c r="A190" s="72">
        <v>46204</v>
      </c>
      <c r="B190" s="73">
        <v>90821</v>
      </c>
      <c r="C190" s="74" t="s">
        <v>42</v>
      </c>
      <c r="D190" s="75" t="s">
        <v>25</v>
      </c>
      <c r="E190" s="76">
        <v>46216.371527777803</v>
      </c>
      <c r="F190" s="77">
        <v>46216.454861111102</v>
      </c>
      <c r="G190" s="77">
        <v>46216.413888888899</v>
      </c>
      <c r="H190" s="78" t="s">
        <v>26</v>
      </c>
      <c r="I190" s="16">
        <f t="shared" si="4"/>
        <v>1</v>
      </c>
      <c r="J190" s="16">
        <v>1</v>
      </c>
      <c r="K190" s="17"/>
      <c r="L190" s="18"/>
      <c r="M190" s="19"/>
      <c r="N190" s="20"/>
      <c r="O190" s="20"/>
      <c r="P190" s="21"/>
      <c r="Q190" s="15"/>
      <c r="R190" s="51" t="str">
        <f t="shared" si="5"/>
        <v>DENTRO DO PRAZO</v>
      </c>
      <c r="S190" s="82"/>
      <c r="T190" s="49" t="s">
        <v>29</v>
      </c>
      <c r="U190" s="83">
        <v>4.2361111111111099E-2</v>
      </c>
    </row>
    <row r="191" spans="1:21" x14ac:dyDescent="0.2">
      <c r="A191" s="72">
        <v>46204</v>
      </c>
      <c r="B191" s="73">
        <v>90893</v>
      </c>
      <c r="C191" s="74" t="s">
        <v>38</v>
      </c>
      <c r="D191" s="75" t="s">
        <v>25</v>
      </c>
      <c r="E191" s="76">
        <v>46216.487500000003</v>
      </c>
      <c r="F191" s="77">
        <v>46217.506944444503</v>
      </c>
      <c r="G191" s="77">
        <v>46217.488194444399</v>
      </c>
      <c r="H191" s="78" t="s">
        <v>26</v>
      </c>
      <c r="I191" s="16">
        <f t="shared" si="4"/>
        <v>1</v>
      </c>
      <c r="J191" s="16">
        <v>1</v>
      </c>
      <c r="K191" s="17"/>
      <c r="L191" s="18"/>
      <c r="M191" s="19"/>
      <c r="N191" s="20"/>
      <c r="O191" s="20"/>
      <c r="P191" s="21"/>
      <c r="Q191" s="15"/>
      <c r="R191" s="51" t="str">
        <f t="shared" si="5"/>
        <v>DENTRO DO PRAZO</v>
      </c>
      <c r="S191" s="82"/>
      <c r="T191" s="49" t="s">
        <v>27</v>
      </c>
      <c r="U191" s="83">
        <v>1.0006944444444501</v>
      </c>
    </row>
    <row r="192" spans="1:21" x14ac:dyDescent="0.2">
      <c r="A192" s="72">
        <v>46204</v>
      </c>
      <c r="B192" s="73">
        <v>90897</v>
      </c>
      <c r="C192" s="74" t="s">
        <v>33</v>
      </c>
      <c r="D192" s="75" t="s">
        <v>25</v>
      </c>
      <c r="E192" s="76">
        <v>46216.507638888899</v>
      </c>
      <c r="F192" s="77">
        <v>46216.590972222199</v>
      </c>
      <c r="G192" s="77">
        <v>46216.686805555597</v>
      </c>
      <c r="H192" s="78" t="s">
        <v>36</v>
      </c>
      <c r="I192" s="16">
        <f t="shared" si="4"/>
        <v>0</v>
      </c>
      <c r="J192" s="16">
        <v>1</v>
      </c>
      <c r="K192" s="17"/>
      <c r="L192" s="18"/>
      <c r="M192" s="19"/>
      <c r="N192" s="20"/>
      <c r="O192" s="20"/>
      <c r="P192" s="21"/>
      <c r="Q192" s="15"/>
      <c r="R192" s="51" t="str">
        <f t="shared" si="5"/>
        <v>FORA DO PRAZO</v>
      </c>
      <c r="S192" s="82"/>
      <c r="T192" s="49" t="s">
        <v>34</v>
      </c>
      <c r="U192" s="83">
        <v>0.179166666666667</v>
      </c>
    </row>
    <row r="193" spans="1:21" x14ac:dyDescent="0.2">
      <c r="A193" s="72">
        <v>46204</v>
      </c>
      <c r="B193" s="73">
        <v>90919</v>
      </c>
      <c r="C193" s="74" t="s">
        <v>31</v>
      </c>
      <c r="D193" s="75" t="s">
        <v>25</v>
      </c>
      <c r="E193" s="76">
        <v>46216.548611111102</v>
      </c>
      <c r="F193" s="77">
        <v>46216.631944444503</v>
      </c>
      <c r="G193" s="77">
        <v>46216.608333333301</v>
      </c>
      <c r="H193" s="78" t="s">
        <v>26</v>
      </c>
      <c r="I193" s="16">
        <f t="shared" si="4"/>
        <v>1</v>
      </c>
      <c r="J193" s="16">
        <v>1</v>
      </c>
      <c r="K193" s="17"/>
      <c r="L193" s="18"/>
      <c r="M193" s="19"/>
      <c r="N193" s="20"/>
      <c r="O193" s="20"/>
      <c r="P193" s="21"/>
      <c r="Q193" s="15"/>
      <c r="R193" s="51" t="str">
        <f t="shared" si="5"/>
        <v>DENTRO DO PRAZO</v>
      </c>
      <c r="S193" s="82"/>
      <c r="T193" s="49" t="s">
        <v>29</v>
      </c>
      <c r="U193" s="83">
        <v>5.9722222222222197E-2</v>
      </c>
    </row>
    <row r="194" spans="1:21" x14ac:dyDescent="0.2">
      <c r="A194" s="72">
        <v>46204</v>
      </c>
      <c r="B194" s="73">
        <v>90933</v>
      </c>
      <c r="C194" s="74" t="s">
        <v>44</v>
      </c>
      <c r="D194" s="75" t="s">
        <v>25</v>
      </c>
      <c r="E194" s="76">
        <v>46216.606249999997</v>
      </c>
      <c r="F194" s="77">
        <v>46216.690277777801</v>
      </c>
      <c r="G194" s="77">
        <v>46216.675694444399</v>
      </c>
      <c r="H194" s="78" t="s">
        <v>26</v>
      </c>
      <c r="I194" s="16">
        <f t="shared" si="4"/>
        <v>1</v>
      </c>
      <c r="J194" s="16">
        <v>1</v>
      </c>
      <c r="K194" s="17"/>
      <c r="L194" s="18"/>
      <c r="M194" s="19"/>
      <c r="N194" s="20"/>
      <c r="O194" s="20"/>
      <c r="P194" s="21"/>
      <c r="Q194" s="15"/>
      <c r="R194" s="51" t="str">
        <f t="shared" si="5"/>
        <v>DENTRO DO PRAZO</v>
      </c>
      <c r="S194" s="82"/>
      <c r="T194" s="49" t="s">
        <v>45</v>
      </c>
      <c r="U194" s="83">
        <v>6.9444444444444503E-2</v>
      </c>
    </row>
    <row r="195" spans="1:21" x14ac:dyDescent="0.2">
      <c r="A195" s="72">
        <v>46204</v>
      </c>
      <c r="B195" s="73">
        <v>90954</v>
      </c>
      <c r="C195" s="74" t="s">
        <v>28</v>
      </c>
      <c r="D195" s="75" t="s">
        <v>25</v>
      </c>
      <c r="E195" s="76">
        <v>46216.620833333298</v>
      </c>
      <c r="F195" s="77">
        <v>46216.704166666699</v>
      </c>
      <c r="G195" s="77">
        <v>46216.639583333301</v>
      </c>
      <c r="H195" s="78" t="s">
        <v>26</v>
      </c>
      <c r="I195" s="16">
        <f t="shared" si="4"/>
        <v>1</v>
      </c>
      <c r="J195" s="16">
        <v>1</v>
      </c>
      <c r="K195" s="17"/>
      <c r="L195" s="18"/>
      <c r="M195" s="19"/>
      <c r="N195" s="20"/>
      <c r="O195" s="20"/>
      <c r="P195" s="21"/>
      <c r="Q195" s="15"/>
      <c r="R195" s="51" t="str">
        <f t="shared" si="5"/>
        <v>DENTRO DO PRAZO</v>
      </c>
      <c r="S195" s="82"/>
      <c r="T195" s="49" t="s">
        <v>29</v>
      </c>
      <c r="U195" s="83">
        <v>1.8749999999999999E-2</v>
      </c>
    </row>
    <row r="196" spans="1:21" x14ac:dyDescent="0.2">
      <c r="A196" s="72">
        <v>46204</v>
      </c>
      <c r="B196" s="73">
        <v>90975</v>
      </c>
      <c r="C196" s="74" t="s">
        <v>31</v>
      </c>
      <c r="D196" s="75" t="s">
        <v>25</v>
      </c>
      <c r="E196" s="76">
        <v>46216.661111111098</v>
      </c>
      <c r="F196" s="77">
        <v>46216.744444444397</v>
      </c>
      <c r="G196" s="77">
        <v>46216.695138888899</v>
      </c>
      <c r="H196" s="78" t="s">
        <v>26</v>
      </c>
      <c r="I196" s="16">
        <f t="shared" si="4"/>
        <v>1</v>
      </c>
      <c r="J196" s="16">
        <v>1</v>
      </c>
      <c r="K196" s="17"/>
      <c r="L196" s="18"/>
      <c r="M196" s="19"/>
      <c r="N196" s="20"/>
      <c r="O196" s="20"/>
      <c r="P196" s="21"/>
      <c r="Q196" s="15"/>
      <c r="R196" s="51" t="str">
        <f t="shared" si="5"/>
        <v>DENTRO DO PRAZO</v>
      </c>
      <c r="S196" s="82"/>
      <c r="T196" s="49" t="s">
        <v>29</v>
      </c>
      <c r="U196" s="83">
        <v>3.4027777777777803E-2</v>
      </c>
    </row>
    <row r="197" spans="1:21" x14ac:dyDescent="0.2">
      <c r="A197" s="72">
        <v>46204</v>
      </c>
      <c r="B197" s="73">
        <v>90976</v>
      </c>
      <c r="C197" s="74" t="s">
        <v>37</v>
      </c>
      <c r="D197" s="75" t="s">
        <v>25</v>
      </c>
      <c r="E197" s="76">
        <v>46216.661805555603</v>
      </c>
      <c r="F197" s="77">
        <v>46216.745138888902</v>
      </c>
      <c r="G197" s="77">
        <v>46216.708333333299</v>
      </c>
      <c r="H197" s="78" t="s">
        <v>26</v>
      </c>
      <c r="I197" s="16">
        <f t="shared" ref="I197:I260" si="6">IF(H197="S",1,0)</f>
        <v>1</v>
      </c>
      <c r="J197" s="16">
        <v>1</v>
      </c>
      <c r="K197" s="17"/>
      <c r="L197" s="18"/>
      <c r="M197" s="19"/>
      <c r="N197" s="20"/>
      <c r="O197" s="20"/>
      <c r="P197" s="21"/>
      <c r="Q197" s="15"/>
      <c r="R197" s="51" t="str">
        <f t="shared" ref="R197:R260" si="7">IF(H197="S","DENTRO DO PRAZO","FORA DO PRAZO")</f>
        <v>DENTRO DO PRAZO</v>
      </c>
      <c r="S197" s="82"/>
      <c r="T197" s="49" t="s">
        <v>27</v>
      </c>
      <c r="U197" s="83">
        <v>4.65277777777778E-2</v>
      </c>
    </row>
    <row r="198" spans="1:21" x14ac:dyDescent="0.2">
      <c r="A198" s="72">
        <v>46204</v>
      </c>
      <c r="B198" s="73">
        <v>90986</v>
      </c>
      <c r="C198" s="74" t="s">
        <v>32</v>
      </c>
      <c r="D198" s="75" t="s">
        <v>25</v>
      </c>
      <c r="E198" s="76">
        <v>46216.670138888898</v>
      </c>
      <c r="F198" s="77">
        <v>46216.753472222197</v>
      </c>
      <c r="G198" s="77">
        <v>46216.671527777798</v>
      </c>
      <c r="H198" s="78" t="s">
        <v>26</v>
      </c>
      <c r="I198" s="16">
        <f t="shared" si="6"/>
        <v>1</v>
      </c>
      <c r="J198" s="16">
        <v>1</v>
      </c>
      <c r="K198" s="17"/>
      <c r="L198" s="18"/>
      <c r="M198" s="19"/>
      <c r="N198" s="20"/>
      <c r="O198" s="20"/>
      <c r="P198" s="21"/>
      <c r="Q198" s="15"/>
      <c r="R198" s="51" t="str">
        <f t="shared" si="7"/>
        <v>DENTRO DO PRAZO</v>
      </c>
      <c r="S198" s="82"/>
      <c r="T198" s="49" t="s">
        <v>29</v>
      </c>
      <c r="U198" s="83">
        <v>1.38888888888889E-3</v>
      </c>
    </row>
    <row r="199" spans="1:21" x14ac:dyDescent="0.2">
      <c r="A199" s="72">
        <v>46204</v>
      </c>
      <c r="B199" s="73">
        <v>91002</v>
      </c>
      <c r="C199" s="74" t="s">
        <v>33</v>
      </c>
      <c r="D199" s="75" t="s">
        <v>25</v>
      </c>
      <c r="E199" s="76">
        <v>46216.699305555601</v>
      </c>
      <c r="F199" s="77">
        <v>46217.392361111102</v>
      </c>
      <c r="G199" s="77">
        <v>46217.364583333299</v>
      </c>
      <c r="H199" s="78" t="s">
        <v>26</v>
      </c>
      <c r="I199" s="16">
        <f t="shared" si="6"/>
        <v>1</v>
      </c>
      <c r="J199" s="16">
        <v>1</v>
      </c>
      <c r="K199" s="17"/>
      <c r="L199" s="18"/>
      <c r="M199" s="19"/>
      <c r="N199" s="20"/>
      <c r="O199" s="20"/>
      <c r="P199" s="21"/>
      <c r="Q199" s="15"/>
      <c r="R199" s="51" t="str">
        <f t="shared" si="7"/>
        <v>DENTRO DO PRAZO</v>
      </c>
      <c r="S199" s="82"/>
      <c r="T199" s="49" t="s">
        <v>34</v>
      </c>
      <c r="U199" s="83">
        <v>0.66527777777777797</v>
      </c>
    </row>
    <row r="200" spans="1:21" x14ac:dyDescent="0.2">
      <c r="A200" s="72">
        <v>46204</v>
      </c>
      <c r="B200" s="73">
        <v>91008</v>
      </c>
      <c r="C200" s="74" t="s">
        <v>31</v>
      </c>
      <c r="D200" s="75" t="s">
        <v>25</v>
      </c>
      <c r="E200" s="76">
        <v>46216.724305555603</v>
      </c>
      <c r="F200" s="77">
        <v>46217.3305555556</v>
      </c>
      <c r="G200" s="77">
        <v>46216.792361111096</v>
      </c>
      <c r="H200" s="78" t="s">
        <v>26</v>
      </c>
      <c r="I200" s="16">
        <f t="shared" si="6"/>
        <v>1</v>
      </c>
      <c r="J200" s="16">
        <v>1</v>
      </c>
      <c r="K200" s="17"/>
      <c r="L200" s="18"/>
      <c r="M200" s="19"/>
      <c r="N200" s="20"/>
      <c r="O200" s="20"/>
      <c r="P200" s="21"/>
      <c r="Q200" s="15"/>
      <c r="R200" s="51" t="str">
        <f t="shared" si="7"/>
        <v>DENTRO DO PRAZO</v>
      </c>
      <c r="S200" s="82"/>
      <c r="T200" s="49" t="s">
        <v>29</v>
      </c>
      <c r="U200" s="83">
        <v>6.8055555555555605E-2</v>
      </c>
    </row>
    <row r="201" spans="1:21" x14ac:dyDescent="0.2">
      <c r="A201" s="72">
        <v>46204</v>
      </c>
      <c r="B201" s="73">
        <v>91017</v>
      </c>
      <c r="C201" s="74" t="s">
        <v>37</v>
      </c>
      <c r="D201" s="75" t="s">
        <v>25</v>
      </c>
      <c r="E201" s="76">
        <v>46216.762499999997</v>
      </c>
      <c r="F201" s="77">
        <v>46217.45</v>
      </c>
      <c r="G201" s="77">
        <v>46216.770138888904</v>
      </c>
      <c r="H201" s="78" t="s">
        <v>26</v>
      </c>
      <c r="I201" s="16">
        <f t="shared" si="6"/>
        <v>1</v>
      </c>
      <c r="J201" s="16">
        <v>1</v>
      </c>
      <c r="K201" s="17"/>
      <c r="L201" s="18"/>
      <c r="M201" s="19"/>
      <c r="N201" s="20"/>
      <c r="O201" s="20"/>
      <c r="P201" s="21"/>
      <c r="Q201" s="15"/>
      <c r="R201" s="51" t="str">
        <f t="shared" si="7"/>
        <v>DENTRO DO PRAZO</v>
      </c>
      <c r="S201" s="82"/>
      <c r="T201" s="49" t="s">
        <v>27</v>
      </c>
      <c r="U201" s="83">
        <v>7.6388888888888904E-3</v>
      </c>
    </row>
    <row r="202" spans="1:21" x14ac:dyDescent="0.2">
      <c r="A202" s="72">
        <v>46204</v>
      </c>
      <c r="B202" s="73">
        <v>91018</v>
      </c>
      <c r="C202" s="74" t="s">
        <v>37</v>
      </c>
      <c r="D202" s="75" t="s">
        <v>25</v>
      </c>
      <c r="E202" s="76">
        <v>46216.804861111101</v>
      </c>
      <c r="F202" s="77">
        <v>46217.458333333299</v>
      </c>
      <c r="G202" s="77">
        <v>46216.806250000001</v>
      </c>
      <c r="H202" s="78" t="s">
        <v>26</v>
      </c>
      <c r="I202" s="16">
        <f t="shared" si="6"/>
        <v>1</v>
      </c>
      <c r="J202" s="16">
        <v>1</v>
      </c>
      <c r="K202" s="17"/>
      <c r="L202" s="18"/>
      <c r="M202" s="19"/>
      <c r="N202" s="20"/>
      <c r="O202" s="20"/>
      <c r="P202" s="21"/>
      <c r="Q202" s="15"/>
      <c r="R202" s="51" t="str">
        <f t="shared" si="7"/>
        <v>DENTRO DO PRAZO</v>
      </c>
      <c r="S202" s="82"/>
      <c r="T202" s="49" t="s">
        <v>27</v>
      </c>
      <c r="U202" s="83">
        <v>1.38888888888889E-3</v>
      </c>
    </row>
    <row r="203" spans="1:21" x14ac:dyDescent="0.2">
      <c r="A203" s="72">
        <v>46204</v>
      </c>
      <c r="B203" s="73">
        <v>91019</v>
      </c>
      <c r="C203" s="74" t="s">
        <v>37</v>
      </c>
      <c r="D203" s="75" t="s">
        <v>25</v>
      </c>
      <c r="E203" s="76">
        <v>46216.810416666704</v>
      </c>
      <c r="F203" s="77">
        <v>46217.458333333299</v>
      </c>
      <c r="G203" s="77">
        <v>46216.811805555597</v>
      </c>
      <c r="H203" s="78" t="s">
        <v>26</v>
      </c>
      <c r="I203" s="16">
        <f t="shared" si="6"/>
        <v>1</v>
      </c>
      <c r="J203" s="16">
        <v>1</v>
      </c>
      <c r="K203" s="17"/>
      <c r="L203" s="18"/>
      <c r="M203" s="19"/>
      <c r="N203" s="20"/>
      <c r="O203" s="20"/>
      <c r="P203" s="21"/>
      <c r="Q203" s="15"/>
      <c r="R203" s="51" t="str">
        <f t="shared" si="7"/>
        <v>DENTRO DO PRAZO</v>
      </c>
      <c r="S203" s="82"/>
      <c r="T203" s="49" t="s">
        <v>27</v>
      </c>
      <c r="U203" s="83">
        <v>1.38888888888889E-3</v>
      </c>
    </row>
    <row r="204" spans="1:21" x14ac:dyDescent="0.2">
      <c r="A204" s="72">
        <v>46204</v>
      </c>
      <c r="B204" s="73">
        <v>91085</v>
      </c>
      <c r="C204" s="74" t="s">
        <v>44</v>
      </c>
      <c r="D204" s="75" t="s">
        <v>25</v>
      </c>
      <c r="E204" s="76">
        <v>46217.513888888898</v>
      </c>
      <c r="F204" s="77">
        <v>46217.7055555556</v>
      </c>
      <c r="G204" s="77">
        <v>46217.6694444444</v>
      </c>
      <c r="H204" s="78" t="s">
        <v>26</v>
      </c>
      <c r="I204" s="16">
        <f t="shared" si="6"/>
        <v>1</v>
      </c>
      <c r="J204" s="16">
        <v>1</v>
      </c>
      <c r="K204" s="17"/>
      <c r="L204" s="18"/>
      <c r="M204" s="19"/>
      <c r="N204" s="20"/>
      <c r="O204" s="20"/>
      <c r="P204" s="21"/>
      <c r="Q204" s="15"/>
      <c r="R204" s="51" t="str">
        <f t="shared" si="7"/>
        <v>DENTRO DO PRAZO</v>
      </c>
      <c r="S204" s="82"/>
      <c r="T204" s="49" t="s">
        <v>29</v>
      </c>
      <c r="U204" s="83">
        <v>0.155555555555556</v>
      </c>
    </row>
    <row r="205" spans="1:21" x14ac:dyDescent="0.2">
      <c r="A205" s="72">
        <v>46204</v>
      </c>
      <c r="B205" s="73">
        <v>91165</v>
      </c>
      <c r="C205" s="74" t="s">
        <v>37</v>
      </c>
      <c r="D205" s="75" t="s">
        <v>25</v>
      </c>
      <c r="E205" s="76">
        <v>46217.823611111096</v>
      </c>
      <c r="F205" s="77">
        <v>46218.458333333299</v>
      </c>
      <c r="G205" s="77">
        <v>46217.824999999997</v>
      </c>
      <c r="H205" s="78" t="s">
        <v>26</v>
      </c>
      <c r="I205" s="16">
        <f t="shared" si="6"/>
        <v>1</v>
      </c>
      <c r="J205" s="16">
        <v>1</v>
      </c>
      <c r="K205" s="17"/>
      <c r="L205" s="18"/>
      <c r="M205" s="19"/>
      <c r="N205" s="20"/>
      <c r="O205" s="20"/>
      <c r="P205" s="21"/>
      <c r="Q205" s="15"/>
      <c r="R205" s="51" t="str">
        <f t="shared" si="7"/>
        <v>DENTRO DO PRAZO</v>
      </c>
      <c r="S205" s="82"/>
      <c r="T205" s="49" t="s">
        <v>27</v>
      </c>
      <c r="U205" s="83">
        <v>1.38888888888889E-3</v>
      </c>
    </row>
    <row r="206" spans="1:21" x14ac:dyDescent="0.2">
      <c r="A206" s="72">
        <v>46204</v>
      </c>
      <c r="B206" s="73">
        <v>91166</v>
      </c>
      <c r="C206" s="74" t="s">
        <v>37</v>
      </c>
      <c r="D206" s="75" t="s">
        <v>25</v>
      </c>
      <c r="E206" s="76">
        <v>46217.823611111096</v>
      </c>
      <c r="F206" s="77">
        <v>46218.458333333299</v>
      </c>
      <c r="G206" s="77">
        <v>46217.824999999997</v>
      </c>
      <c r="H206" s="78" t="s">
        <v>26</v>
      </c>
      <c r="I206" s="16">
        <f t="shared" si="6"/>
        <v>1</v>
      </c>
      <c r="J206" s="16">
        <v>1</v>
      </c>
      <c r="K206" s="17"/>
      <c r="L206" s="18"/>
      <c r="M206" s="19"/>
      <c r="N206" s="20"/>
      <c r="O206" s="20"/>
      <c r="P206" s="21"/>
      <c r="Q206" s="15"/>
      <c r="R206" s="51" t="str">
        <f t="shared" si="7"/>
        <v>DENTRO DO PRAZO</v>
      </c>
      <c r="S206" s="82"/>
      <c r="T206" s="49" t="s">
        <v>27</v>
      </c>
      <c r="U206" s="83">
        <v>1.38888888888889E-3</v>
      </c>
    </row>
    <row r="207" spans="1:21" x14ac:dyDescent="0.2">
      <c r="A207" s="72">
        <v>46204</v>
      </c>
      <c r="B207" s="73">
        <v>91167</v>
      </c>
      <c r="C207" s="74" t="s">
        <v>37</v>
      </c>
      <c r="D207" s="75" t="s">
        <v>25</v>
      </c>
      <c r="E207" s="76">
        <v>46217.823611111096</v>
      </c>
      <c r="F207" s="77">
        <v>46218.458333333299</v>
      </c>
      <c r="G207" s="77">
        <v>46217.8256944444</v>
      </c>
      <c r="H207" s="78" t="s">
        <v>26</v>
      </c>
      <c r="I207" s="16">
        <f t="shared" si="6"/>
        <v>1</v>
      </c>
      <c r="J207" s="16">
        <v>1</v>
      </c>
      <c r="K207" s="17"/>
      <c r="L207" s="18"/>
      <c r="M207" s="19"/>
      <c r="N207" s="20"/>
      <c r="O207" s="20"/>
      <c r="P207" s="21"/>
      <c r="Q207" s="15"/>
      <c r="R207" s="51" t="str">
        <f t="shared" si="7"/>
        <v>DENTRO DO PRAZO</v>
      </c>
      <c r="S207" s="82"/>
      <c r="T207" s="49" t="s">
        <v>27</v>
      </c>
      <c r="U207" s="83">
        <v>2.0833333333333298E-3</v>
      </c>
    </row>
    <row r="208" spans="1:21" x14ac:dyDescent="0.2">
      <c r="A208" s="72">
        <v>46204</v>
      </c>
      <c r="B208" s="73">
        <v>91168</v>
      </c>
      <c r="C208" s="74" t="s">
        <v>37</v>
      </c>
      <c r="D208" s="75" t="s">
        <v>25</v>
      </c>
      <c r="E208" s="76">
        <v>46217.823611111096</v>
      </c>
      <c r="F208" s="77">
        <v>46218.458333333299</v>
      </c>
      <c r="G208" s="77">
        <v>46217.824999999997</v>
      </c>
      <c r="H208" s="78" t="s">
        <v>26</v>
      </c>
      <c r="I208" s="16">
        <f t="shared" si="6"/>
        <v>1</v>
      </c>
      <c r="J208" s="16">
        <v>1</v>
      </c>
      <c r="K208" s="17"/>
      <c r="L208" s="18"/>
      <c r="M208" s="19"/>
      <c r="N208" s="20"/>
      <c r="O208" s="20"/>
      <c r="P208" s="21"/>
      <c r="Q208" s="15"/>
      <c r="R208" s="51" t="str">
        <f t="shared" si="7"/>
        <v>DENTRO DO PRAZO</v>
      </c>
      <c r="S208" s="82"/>
      <c r="T208" s="49" t="s">
        <v>27</v>
      </c>
      <c r="U208" s="83">
        <v>1.38888888888889E-3</v>
      </c>
    </row>
    <row r="209" spans="1:21" x14ac:dyDescent="0.2">
      <c r="A209" s="72">
        <v>46204</v>
      </c>
      <c r="B209" s="73">
        <v>91173</v>
      </c>
      <c r="C209" s="74" t="s">
        <v>31</v>
      </c>
      <c r="D209" s="75" t="s">
        <v>25</v>
      </c>
      <c r="E209" s="76">
        <v>46218.377777777801</v>
      </c>
      <c r="F209" s="77">
        <v>46218.461111111101</v>
      </c>
      <c r="G209" s="77">
        <v>46218.415972222203</v>
      </c>
      <c r="H209" s="78" t="s">
        <v>26</v>
      </c>
      <c r="I209" s="16">
        <f t="shared" si="6"/>
        <v>1</v>
      </c>
      <c r="J209" s="16">
        <v>1</v>
      </c>
      <c r="K209" s="17"/>
      <c r="L209" s="18"/>
      <c r="M209" s="19"/>
      <c r="N209" s="20"/>
      <c r="O209" s="20"/>
      <c r="P209" s="21"/>
      <c r="Q209" s="15"/>
      <c r="R209" s="51" t="str">
        <f t="shared" si="7"/>
        <v>DENTRO DO PRAZO</v>
      </c>
      <c r="S209" s="82"/>
      <c r="T209" s="49" t="s">
        <v>29</v>
      </c>
      <c r="U209" s="83">
        <v>3.8194444444444503E-2</v>
      </c>
    </row>
    <row r="210" spans="1:21" x14ac:dyDescent="0.2">
      <c r="A210" s="72">
        <v>46204</v>
      </c>
      <c r="B210" s="73">
        <v>91205</v>
      </c>
      <c r="C210" s="74" t="s">
        <v>31</v>
      </c>
      <c r="D210" s="75" t="s">
        <v>25</v>
      </c>
      <c r="E210" s="76">
        <v>46218.434722222199</v>
      </c>
      <c r="F210" s="77">
        <v>46218.5180555556</v>
      </c>
      <c r="G210" s="77">
        <v>46218.496527777803</v>
      </c>
      <c r="H210" s="78" t="s">
        <v>26</v>
      </c>
      <c r="I210" s="16">
        <f t="shared" si="6"/>
        <v>1</v>
      </c>
      <c r="J210" s="16">
        <v>1</v>
      </c>
      <c r="K210" s="17"/>
      <c r="L210" s="18"/>
      <c r="M210" s="19"/>
      <c r="N210" s="20"/>
      <c r="O210" s="20"/>
      <c r="P210" s="21"/>
      <c r="Q210" s="15"/>
      <c r="R210" s="51" t="str">
        <f t="shared" si="7"/>
        <v>DENTRO DO PRAZO</v>
      </c>
      <c r="S210" s="82"/>
      <c r="T210" s="49" t="s">
        <v>29</v>
      </c>
      <c r="U210" s="83">
        <v>6.18055555555556E-2</v>
      </c>
    </row>
    <row r="211" spans="1:21" x14ac:dyDescent="0.2">
      <c r="A211" s="72">
        <v>46204</v>
      </c>
      <c r="B211" s="73">
        <v>91311</v>
      </c>
      <c r="C211" s="74" t="s">
        <v>38</v>
      </c>
      <c r="D211" s="75" t="s">
        <v>25</v>
      </c>
      <c r="E211" s="76">
        <v>46218.685416666704</v>
      </c>
      <c r="F211" s="77">
        <v>46218.768750000003</v>
      </c>
      <c r="G211" s="77">
        <v>46218.691666666702</v>
      </c>
      <c r="H211" s="78" t="s">
        <v>26</v>
      </c>
      <c r="I211" s="16">
        <f t="shared" si="6"/>
        <v>1</v>
      </c>
      <c r="J211" s="16">
        <v>1</v>
      </c>
      <c r="K211" s="17"/>
      <c r="L211" s="18"/>
      <c r="M211" s="19"/>
      <c r="N211" s="20"/>
      <c r="O211" s="20"/>
      <c r="P211" s="21"/>
      <c r="Q211" s="15"/>
      <c r="R211" s="51" t="str">
        <f t="shared" si="7"/>
        <v>DENTRO DO PRAZO</v>
      </c>
      <c r="S211" s="82"/>
      <c r="T211" s="49" t="s">
        <v>27</v>
      </c>
      <c r="U211" s="83">
        <v>6.2500000000000003E-3</v>
      </c>
    </row>
    <row r="212" spans="1:21" x14ac:dyDescent="0.2">
      <c r="A212" s="72">
        <v>46204</v>
      </c>
      <c r="B212" s="73">
        <v>91377</v>
      </c>
      <c r="C212" s="74" t="s">
        <v>24</v>
      </c>
      <c r="D212" s="75" t="s">
        <v>25</v>
      </c>
      <c r="E212" s="76">
        <v>46219.504861111098</v>
      </c>
      <c r="F212" s="77">
        <v>46219.588194444397</v>
      </c>
      <c r="G212" s="77">
        <v>46219.511805555601</v>
      </c>
      <c r="H212" s="78" t="s">
        <v>26</v>
      </c>
      <c r="I212" s="16">
        <f t="shared" si="6"/>
        <v>1</v>
      </c>
      <c r="J212" s="16">
        <v>1</v>
      </c>
      <c r="K212" s="17"/>
      <c r="L212" s="18"/>
      <c r="M212" s="19"/>
      <c r="N212" s="20"/>
      <c r="O212" s="20"/>
      <c r="P212" s="21"/>
      <c r="Q212" s="15"/>
      <c r="R212" s="51" t="str">
        <f t="shared" si="7"/>
        <v>DENTRO DO PRAZO</v>
      </c>
      <c r="S212" s="82"/>
      <c r="T212" s="49" t="s">
        <v>27</v>
      </c>
      <c r="U212" s="83">
        <v>6.9444444444444397E-3</v>
      </c>
    </row>
    <row r="213" spans="1:21" x14ac:dyDescent="0.2">
      <c r="A213" s="72">
        <v>46204</v>
      </c>
      <c r="B213" s="73">
        <v>91380</v>
      </c>
      <c r="C213" s="74" t="s">
        <v>24</v>
      </c>
      <c r="D213" s="75" t="s">
        <v>25</v>
      </c>
      <c r="E213" s="76">
        <v>46219.522916666698</v>
      </c>
      <c r="F213" s="77">
        <v>46219.606249999997</v>
      </c>
      <c r="G213" s="77">
        <v>46219.565972222197</v>
      </c>
      <c r="H213" s="78" t="s">
        <v>26</v>
      </c>
      <c r="I213" s="16">
        <f t="shared" si="6"/>
        <v>1</v>
      </c>
      <c r="J213" s="16">
        <v>1</v>
      </c>
      <c r="K213" s="17"/>
      <c r="L213" s="18"/>
      <c r="M213" s="19"/>
      <c r="N213" s="20"/>
      <c r="O213" s="20"/>
      <c r="P213" s="21"/>
      <c r="Q213" s="15"/>
      <c r="R213" s="51" t="str">
        <f t="shared" si="7"/>
        <v>DENTRO DO PRAZO</v>
      </c>
      <c r="S213" s="82"/>
      <c r="T213" s="49" t="s">
        <v>27</v>
      </c>
      <c r="U213" s="83">
        <v>4.3055555555555597E-2</v>
      </c>
    </row>
    <row r="214" spans="1:21" x14ac:dyDescent="0.2">
      <c r="A214" s="72">
        <v>46204</v>
      </c>
      <c r="B214" s="73">
        <v>91386</v>
      </c>
      <c r="C214" s="74" t="s">
        <v>31</v>
      </c>
      <c r="D214" s="75" t="s">
        <v>25</v>
      </c>
      <c r="E214" s="76">
        <v>46219.5847222222</v>
      </c>
      <c r="F214" s="77">
        <v>46219.668749999997</v>
      </c>
      <c r="G214" s="77">
        <v>46219.610416666699</v>
      </c>
      <c r="H214" s="78" t="s">
        <v>26</v>
      </c>
      <c r="I214" s="16">
        <f t="shared" si="6"/>
        <v>1</v>
      </c>
      <c r="J214" s="16">
        <v>1</v>
      </c>
      <c r="K214" s="17"/>
      <c r="L214" s="18"/>
      <c r="M214" s="19"/>
      <c r="N214" s="20"/>
      <c r="O214" s="20"/>
      <c r="P214" s="21"/>
      <c r="Q214" s="15"/>
      <c r="R214" s="51" t="str">
        <f t="shared" si="7"/>
        <v>DENTRO DO PRAZO</v>
      </c>
      <c r="S214" s="82"/>
      <c r="T214" s="49" t="s">
        <v>29</v>
      </c>
      <c r="U214" s="83">
        <v>2.5694444444444402E-2</v>
      </c>
    </row>
    <row r="215" spans="1:21" x14ac:dyDescent="0.2">
      <c r="A215" s="72">
        <v>46204</v>
      </c>
      <c r="B215" s="73">
        <v>91413</v>
      </c>
      <c r="C215" s="74" t="s">
        <v>33</v>
      </c>
      <c r="D215" s="75" t="s">
        <v>25</v>
      </c>
      <c r="E215" s="76">
        <v>46219.673611111102</v>
      </c>
      <c r="F215" s="77">
        <v>46219.756944444503</v>
      </c>
      <c r="G215" s="77">
        <v>46219.683333333298</v>
      </c>
      <c r="H215" s="78" t="s">
        <v>26</v>
      </c>
      <c r="I215" s="16">
        <f t="shared" si="6"/>
        <v>1</v>
      </c>
      <c r="J215" s="16">
        <v>1</v>
      </c>
      <c r="K215" s="17"/>
      <c r="L215" s="18"/>
      <c r="M215" s="19"/>
      <c r="N215" s="20"/>
      <c r="O215" s="20"/>
      <c r="P215" s="21"/>
      <c r="Q215" s="15"/>
      <c r="R215" s="51" t="str">
        <f t="shared" si="7"/>
        <v>DENTRO DO PRAZO</v>
      </c>
      <c r="S215" s="82"/>
      <c r="T215" s="49" t="s">
        <v>34</v>
      </c>
      <c r="U215" s="83">
        <v>9.7222222222222206E-3</v>
      </c>
    </row>
    <row r="216" spans="1:21" x14ac:dyDescent="0.2">
      <c r="A216" s="72">
        <v>46204</v>
      </c>
      <c r="B216" s="73">
        <v>91461</v>
      </c>
      <c r="C216" s="74" t="s">
        <v>31</v>
      </c>
      <c r="D216" s="75" t="s">
        <v>25</v>
      </c>
      <c r="E216" s="76">
        <v>46220.411805555603</v>
      </c>
      <c r="F216" s="77">
        <v>46220.495138888902</v>
      </c>
      <c r="G216" s="77">
        <v>46220.45</v>
      </c>
      <c r="H216" s="78" t="s">
        <v>26</v>
      </c>
      <c r="I216" s="16">
        <f t="shared" si="6"/>
        <v>1</v>
      </c>
      <c r="J216" s="16">
        <v>1</v>
      </c>
      <c r="K216" s="17"/>
      <c r="L216" s="18"/>
      <c r="M216" s="19"/>
      <c r="N216" s="20"/>
      <c r="O216" s="20"/>
      <c r="P216" s="21"/>
      <c r="Q216" s="15"/>
      <c r="R216" s="51" t="str">
        <f t="shared" si="7"/>
        <v>DENTRO DO PRAZO</v>
      </c>
      <c r="S216" s="82"/>
      <c r="T216" s="49" t="s">
        <v>29</v>
      </c>
      <c r="U216" s="83">
        <v>3.8194444444444503E-2</v>
      </c>
    </row>
    <row r="217" spans="1:21" x14ac:dyDescent="0.2">
      <c r="A217" s="72">
        <v>46204</v>
      </c>
      <c r="B217" s="73">
        <v>91470</v>
      </c>
      <c r="C217" s="74" t="s">
        <v>33</v>
      </c>
      <c r="D217" s="75" t="s">
        <v>25</v>
      </c>
      <c r="E217" s="76">
        <v>46220.451388888898</v>
      </c>
      <c r="F217" s="77">
        <v>46220.534722222197</v>
      </c>
      <c r="G217" s="77">
        <v>46223.417361111096</v>
      </c>
      <c r="H217" s="78" t="s">
        <v>36</v>
      </c>
      <c r="I217" s="16">
        <f t="shared" si="6"/>
        <v>0</v>
      </c>
      <c r="J217" s="16">
        <v>1</v>
      </c>
      <c r="K217" s="17"/>
      <c r="L217" s="18"/>
      <c r="M217" s="19"/>
      <c r="N217" s="20"/>
      <c r="O217" s="20"/>
      <c r="P217" s="21"/>
      <c r="Q217" s="15"/>
      <c r="R217" s="51" t="str">
        <f t="shared" si="7"/>
        <v>FORA DO PRAZO</v>
      </c>
      <c r="S217" s="82"/>
      <c r="T217" s="49" t="s">
        <v>34</v>
      </c>
      <c r="U217" s="83">
        <v>2.96597222222222</v>
      </c>
    </row>
    <row r="218" spans="1:21" x14ac:dyDescent="0.2">
      <c r="A218" s="72">
        <v>46204</v>
      </c>
      <c r="B218" s="73">
        <v>91517</v>
      </c>
      <c r="C218" s="74" t="s">
        <v>41</v>
      </c>
      <c r="D218" s="75" t="s">
        <v>25</v>
      </c>
      <c r="E218" s="76">
        <v>46220.608333333301</v>
      </c>
      <c r="F218" s="77">
        <v>46220.691666666702</v>
      </c>
      <c r="G218" s="77">
        <v>46220.653472222199</v>
      </c>
      <c r="H218" s="78" t="s">
        <v>26</v>
      </c>
      <c r="I218" s="16">
        <f t="shared" si="6"/>
        <v>1</v>
      </c>
      <c r="J218" s="16">
        <v>1</v>
      </c>
      <c r="K218" s="17"/>
      <c r="L218" s="18"/>
      <c r="M218" s="19"/>
      <c r="N218" s="20"/>
      <c r="O218" s="20"/>
      <c r="P218" s="21"/>
      <c r="Q218" s="15"/>
      <c r="R218" s="51" t="str">
        <f t="shared" si="7"/>
        <v>DENTRO DO PRAZO</v>
      </c>
      <c r="S218" s="82"/>
      <c r="T218" s="49" t="s">
        <v>29</v>
      </c>
      <c r="U218" s="83">
        <v>4.5138888888888902E-2</v>
      </c>
    </row>
    <row r="219" spans="1:21" x14ac:dyDescent="0.2">
      <c r="A219" s="72">
        <v>46204</v>
      </c>
      <c r="B219" s="73">
        <v>91533</v>
      </c>
      <c r="C219" s="74" t="s">
        <v>37</v>
      </c>
      <c r="D219" s="75" t="s">
        <v>25</v>
      </c>
      <c r="E219" s="76">
        <v>46220.683333333298</v>
      </c>
      <c r="F219" s="77">
        <v>46220.766666666699</v>
      </c>
      <c r="G219" s="77">
        <v>46220.685416666704</v>
      </c>
      <c r="H219" s="78" t="s">
        <v>26</v>
      </c>
      <c r="I219" s="16">
        <f t="shared" si="6"/>
        <v>1</v>
      </c>
      <c r="J219" s="16">
        <v>1</v>
      </c>
      <c r="K219" s="17"/>
      <c r="L219" s="18"/>
      <c r="M219" s="19"/>
      <c r="N219" s="20"/>
      <c r="O219" s="20"/>
      <c r="P219" s="21"/>
      <c r="Q219" s="15"/>
      <c r="R219" s="51" t="str">
        <f t="shared" si="7"/>
        <v>DENTRO DO PRAZO</v>
      </c>
      <c r="S219" s="82"/>
      <c r="T219" s="49" t="s">
        <v>27</v>
      </c>
      <c r="U219" s="83">
        <v>2.0833333333333298E-3</v>
      </c>
    </row>
    <row r="220" spans="1:21" x14ac:dyDescent="0.2">
      <c r="A220" s="72">
        <v>46204</v>
      </c>
      <c r="B220" s="73">
        <v>91603</v>
      </c>
      <c r="C220" s="74" t="s">
        <v>44</v>
      </c>
      <c r="D220" s="75" t="s">
        <v>25</v>
      </c>
      <c r="E220" s="76">
        <v>46223.440972222197</v>
      </c>
      <c r="F220" s="77">
        <v>46223.524305555598</v>
      </c>
      <c r="G220" s="77">
        <v>46223.484027777798</v>
      </c>
      <c r="H220" s="78" t="s">
        <v>26</v>
      </c>
      <c r="I220" s="16">
        <f t="shared" si="6"/>
        <v>1</v>
      </c>
      <c r="J220" s="16">
        <v>1</v>
      </c>
      <c r="K220" s="17"/>
      <c r="L220" s="18"/>
      <c r="M220" s="19"/>
      <c r="N220" s="20"/>
      <c r="O220" s="20"/>
      <c r="P220" s="21"/>
      <c r="Q220" s="15"/>
      <c r="R220" s="51" t="str">
        <f t="shared" si="7"/>
        <v>DENTRO DO PRAZO</v>
      </c>
      <c r="S220" s="82"/>
      <c r="T220" s="49" t="s">
        <v>29</v>
      </c>
      <c r="U220" s="83">
        <v>4.3055555555555597E-2</v>
      </c>
    </row>
    <row r="221" spans="1:21" x14ac:dyDescent="0.2">
      <c r="A221" s="72">
        <v>46204</v>
      </c>
      <c r="B221" s="73">
        <v>91609</v>
      </c>
      <c r="C221" s="74" t="s">
        <v>44</v>
      </c>
      <c r="D221" s="75" t="s">
        <v>25</v>
      </c>
      <c r="E221" s="76">
        <v>46223.452777777798</v>
      </c>
      <c r="F221" s="77">
        <v>46223.536111111098</v>
      </c>
      <c r="G221" s="77">
        <v>46223.484722222202</v>
      </c>
      <c r="H221" s="78" t="s">
        <v>26</v>
      </c>
      <c r="I221" s="16">
        <f t="shared" si="6"/>
        <v>1</v>
      </c>
      <c r="J221" s="16">
        <v>1</v>
      </c>
      <c r="K221" s="17"/>
      <c r="L221" s="18"/>
      <c r="M221" s="19"/>
      <c r="N221" s="20"/>
      <c r="O221" s="20"/>
      <c r="P221" s="21"/>
      <c r="Q221" s="15"/>
      <c r="R221" s="51" t="str">
        <f t="shared" si="7"/>
        <v>DENTRO DO PRAZO</v>
      </c>
      <c r="S221" s="82"/>
      <c r="T221" s="49" t="s">
        <v>29</v>
      </c>
      <c r="U221" s="83">
        <v>3.19444444444444E-2</v>
      </c>
    </row>
    <row r="222" spans="1:21" x14ac:dyDescent="0.2">
      <c r="A222" s="72">
        <v>46204</v>
      </c>
      <c r="B222" s="73">
        <v>91688</v>
      </c>
      <c r="C222" s="74" t="s">
        <v>31</v>
      </c>
      <c r="D222" s="75" t="s">
        <v>25</v>
      </c>
      <c r="E222" s="76">
        <v>46224.386805555601</v>
      </c>
      <c r="F222" s="77">
        <v>46224.531944444498</v>
      </c>
      <c r="G222" s="77">
        <v>46224.482638888898</v>
      </c>
      <c r="H222" s="78" t="s">
        <v>26</v>
      </c>
      <c r="I222" s="16">
        <f t="shared" si="6"/>
        <v>1</v>
      </c>
      <c r="J222" s="16">
        <v>1</v>
      </c>
      <c r="K222" s="17"/>
      <c r="L222" s="18"/>
      <c r="M222" s="19"/>
      <c r="N222" s="20"/>
      <c r="O222" s="20"/>
      <c r="P222" s="21"/>
      <c r="Q222" s="15"/>
      <c r="R222" s="51" t="str">
        <f t="shared" si="7"/>
        <v>DENTRO DO PRAZO</v>
      </c>
      <c r="S222" s="82"/>
      <c r="T222" s="49" t="s">
        <v>29</v>
      </c>
      <c r="U222" s="83">
        <v>9.5833333333333298E-2</v>
      </c>
    </row>
    <row r="223" spans="1:21" x14ac:dyDescent="0.2">
      <c r="A223" s="72">
        <v>46204</v>
      </c>
      <c r="B223" s="73">
        <v>91800</v>
      </c>
      <c r="C223" s="74" t="s">
        <v>30</v>
      </c>
      <c r="D223" s="75" t="s">
        <v>25</v>
      </c>
      <c r="E223" s="76">
        <v>46224.6118055556</v>
      </c>
      <c r="F223" s="77">
        <v>46224.695138888899</v>
      </c>
      <c r="G223" s="77">
        <v>46224.645833333299</v>
      </c>
      <c r="H223" s="78" t="s">
        <v>26</v>
      </c>
      <c r="I223" s="16">
        <f t="shared" si="6"/>
        <v>1</v>
      </c>
      <c r="J223" s="16">
        <v>1</v>
      </c>
      <c r="K223" s="17"/>
      <c r="L223" s="18"/>
      <c r="M223" s="19"/>
      <c r="N223" s="20"/>
      <c r="O223" s="20"/>
      <c r="P223" s="21"/>
      <c r="Q223" s="15"/>
      <c r="R223" s="51" t="str">
        <f t="shared" si="7"/>
        <v>DENTRO DO PRAZO</v>
      </c>
      <c r="S223" s="82"/>
      <c r="T223" s="49" t="s">
        <v>29</v>
      </c>
      <c r="U223" s="83">
        <v>3.4027777777777803E-2</v>
      </c>
    </row>
    <row r="224" spans="1:21" x14ac:dyDescent="0.2">
      <c r="A224" s="72">
        <v>46204</v>
      </c>
      <c r="B224" s="73">
        <v>91820</v>
      </c>
      <c r="C224" s="74" t="s">
        <v>46</v>
      </c>
      <c r="D224" s="75" t="s">
        <v>25</v>
      </c>
      <c r="E224" s="76">
        <v>46224.645833333299</v>
      </c>
      <c r="F224" s="77">
        <v>46224.729166666701</v>
      </c>
      <c r="G224" s="77">
        <v>46224.651388888902</v>
      </c>
      <c r="H224" s="78" t="s">
        <v>26</v>
      </c>
      <c r="I224" s="16">
        <f t="shared" si="6"/>
        <v>1</v>
      </c>
      <c r="J224" s="16">
        <v>1</v>
      </c>
      <c r="K224" s="17"/>
      <c r="L224" s="18"/>
      <c r="M224" s="19"/>
      <c r="N224" s="20"/>
      <c r="O224" s="20"/>
      <c r="P224" s="21"/>
      <c r="Q224" s="15"/>
      <c r="R224" s="51" t="str">
        <f t="shared" si="7"/>
        <v>DENTRO DO PRAZO</v>
      </c>
      <c r="S224" s="82"/>
      <c r="T224" s="49" t="s">
        <v>29</v>
      </c>
      <c r="U224" s="83">
        <v>5.5555555555555601E-3</v>
      </c>
    </row>
    <row r="225" spans="1:21" x14ac:dyDescent="0.2">
      <c r="A225" s="72">
        <v>46204</v>
      </c>
      <c r="B225" s="73">
        <v>91822</v>
      </c>
      <c r="C225" s="74" t="s">
        <v>46</v>
      </c>
      <c r="D225" s="75" t="s">
        <v>25</v>
      </c>
      <c r="E225" s="76">
        <v>46224.652777777803</v>
      </c>
      <c r="F225" s="77">
        <v>46224.736111111102</v>
      </c>
      <c r="G225" s="77">
        <v>46224.659027777801</v>
      </c>
      <c r="H225" s="78" t="s">
        <v>26</v>
      </c>
      <c r="I225" s="16">
        <f t="shared" si="6"/>
        <v>1</v>
      </c>
      <c r="J225" s="16">
        <v>1</v>
      </c>
      <c r="K225" s="17"/>
      <c r="L225" s="18"/>
      <c r="M225" s="19"/>
      <c r="N225" s="20"/>
      <c r="O225" s="20"/>
      <c r="P225" s="21"/>
      <c r="Q225" s="15"/>
      <c r="R225" s="51" t="str">
        <f t="shared" si="7"/>
        <v>DENTRO DO PRAZO</v>
      </c>
      <c r="S225" s="82"/>
      <c r="T225" s="49" t="s">
        <v>29</v>
      </c>
      <c r="U225" s="83">
        <v>6.2500000000000003E-3</v>
      </c>
    </row>
    <row r="226" spans="1:21" x14ac:dyDescent="0.2">
      <c r="A226" s="72">
        <v>46204</v>
      </c>
      <c r="B226" s="73">
        <v>91853</v>
      </c>
      <c r="C226" s="74" t="s">
        <v>44</v>
      </c>
      <c r="D226" s="75" t="s">
        <v>25</v>
      </c>
      <c r="E226" s="76">
        <v>46225.40625</v>
      </c>
      <c r="F226" s="77">
        <v>46225.489583333299</v>
      </c>
      <c r="G226" s="77">
        <v>46225.456944444399</v>
      </c>
      <c r="H226" s="78" t="s">
        <v>26</v>
      </c>
      <c r="I226" s="16">
        <f t="shared" si="6"/>
        <v>1</v>
      </c>
      <c r="J226" s="16">
        <v>1</v>
      </c>
      <c r="K226" s="17"/>
      <c r="L226" s="18"/>
      <c r="M226" s="19"/>
      <c r="N226" s="20"/>
      <c r="O226" s="20"/>
      <c r="P226" s="21"/>
      <c r="Q226" s="15"/>
      <c r="R226" s="51" t="str">
        <f t="shared" si="7"/>
        <v>DENTRO DO PRAZO</v>
      </c>
      <c r="S226" s="82"/>
      <c r="T226" s="49" t="s">
        <v>29</v>
      </c>
      <c r="U226" s="83">
        <v>5.0694444444444403E-2</v>
      </c>
    </row>
    <row r="227" spans="1:21" x14ac:dyDescent="0.2">
      <c r="A227" s="72">
        <v>46204</v>
      </c>
      <c r="B227" s="73">
        <v>91854</v>
      </c>
      <c r="C227" s="74" t="s">
        <v>44</v>
      </c>
      <c r="D227" s="75" t="s">
        <v>25</v>
      </c>
      <c r="E227" s="76">
        <v>46225.409722222197</v>
      </c>
      <c r="F227" s="77">
        <v>46225.493055555598</v>
      </c>
      <c r="G227" s="77">
        <v>46225.418749999997</v>
      </c>
      <c r="H227" s="78" t="s">
        <v>26</v>
      </c>
      <c r="I227" s="16">
        <f t="shared" si="6"/>
        <v>1</v>
      </c>
      <c r="J227" s="16">
        <v>1</v>
      </c>
      <c r="K227" s="17"/>
      <c r="L227" s="18"/>
      <c r="M227" s="19"/>
      <c r="N227" s="20"/>
      <c r="O227" s="20"/>
      <c r="P227" s="21"/>
      <c r="Q227" s="15"/>
      <c r="R227" s="51" t="str">
        <f t="shared" si="7"/>
        <v>DENTRO DO PRAZO</v>
      </c>
      <c r="S227" s="82"/>
      <c r="T227" s="49" t="s">
        <v>29</v>
      </c>
      <c r="U227" s="83">
        <v>9.0277777777777804E-3</v>
      </c>
    </row>
    <row r="228" spans="1:21" x14ac:dyDescent="0.2">
      <c r="A228" s="72">
        <v>46204</v>
      </c>
      <c r="B228" s="73">
        <v>91913</v>
      </c>
      <c r="C228" s="74" t="s">
        <v>31</v>
      </c>
      <c r="D228" s="75" t="s">
        <v>25</v>
      </c>
      <c r="E228" s="76">
        <v>46225.604861111096</v>
      </c>
      <c r="F228" s="77">
        <v>46225.688194444498</v>
      </c>
      <c r="G228" s="77">
        <v>46225.645138888904</v>
      </c>
      <c r="H228" s="78" t="s">
        <v>26</v>
      </c>
      <c r="I228" s="16">
        <f t="shared" si="6"/>
        <v>1</v>
      </c>
      <c r="J228" s="16">
        <v>1</v>
      </c>
      <c r="K228" s="17"/>
      <c r="L228" s="18"/>
      <c r="M228" s="19"/>
      <c r="N228" s="20"/>
      <c r="O228" s="20"/>
      <c r="P228" s="21"/>
      <c r="Q228" s="15"/>
      <c r="R228" s="51" t="str">
        <f t="shared" si="7"/>
        <v>DENTRO DO PRAZO</v>
      </c>
      <c r="S228" s="82"/>
      <c r="T228" s="49" t="s">
        <v>29</v>
      </c>
      <c r="U228" s="83">
        <v>4.0277777777777801E-2</v>
      </c>
    </row>
    <row r="229" spans="1:21" x14ac:dyDescent="0.2">
      <c r="A229" s="72">
        <v>46204</v>
      </c>
      <c r="B229" s="73">
        <v>91948</v>
      </c>
      <c r="C229" s="74" t="s">
        <v>37</v>
      </c>
      <c r="D229" s="75" t="s">
        <v>25</v>
      </c>
      <c r="E229" s="76">
        <v>46226.197222222203</v>
      </c>
      <c r="F229" s="77">
        <v>46226.458333333299</v>
      </c>
      <c r="G229" s="77">
        <v>46226.206250000003</v>
      </c>
      <c r="H229" s="78" t="s">
        <v>26</v>
      </c>
      <c r="I229" s="16">
        <f t="shared" si="6"/>
        <v>1</v>
      </c>
      <c r="J229" s="16">
        <v>1</v>
      </c>
      <c r="K229" s="17"/>
      <c r="L229" s="18"/>
      <c r="M229" s="19"/>
      <c r="N229" s="20"/>
      <c r="O229" s="20"/>
      <c r="P229" s="21"/>
      <c r="Q229" s="15"/>
      <c r="R229" s="51" t="str">
        <f t="shared" si="7"/>
        <v>DENTRO DO PRAZO</v>
      </c>
      <c r="S229" s="82"/>
      <c r="T229" s="49" t="s">
        <v>27</v>
      </c>
      <c r="U229" s="83">
        <v>9.0277777777777804E-3</v>
      </c>
    </row>
    <row r="230" spans="1:21" x14ac:dyDescent="0.2">
      <c r="A230" s="72">
        <v>46204</v>
      </c>
      <c r="B230" s="73">
        <v>91949</v>
      </c>
      <c r="C230" s="74" t="s">
        <v>37</v>
      </c>
      <c r="D230" s="75" t="s">
        <v>25</v>
      </c>
      <c r="E230" s="76">
        <v>46226.197222222203</v>
      </c>
      <c r="F230" s="77">
        <v>46226.458333333299</v>
      </c>
      <c r="G230" s="77">
        <v>46226.206250000003</v>
      </c>
      <c r="H230" s="78" t="s">
        <v>26</v>
      </c>
      <c r="I230" s="16">
        <f t="shared" si="6"/>
        <v>1</v>
      </c>
      <c r="J230" s="16">
        <v>1</v>
      </c>
      <c r="K230" s="17"/>
      <c r="L230" s="18"/>
      <c r="M230" s="19"/>
      <c r="N230" s="20"/>
      <c r="O230" s="20"/>
      <c r="P230" s="21"/>
      <c r="Q230" s="15"/>
      <c r="R230" s="51" t="str">
        <f t="shared" si="7"/>
        <v>DENTRO DO PRAZO</v>
      </c>
      <c r="S230" s="82"/>
      <c r="T230" s="49" t="s">
        <v>27</v>
      </c>
      <c r="U230" s="83">
        <v>9.0277777777777804E-3</v>
      </c>
    </row>
    <row r="231" spans="1:21" x14ac:dyDescent="0.2">
      <c r="A231" s="72">
        <v>46204</v>
      </c>
      <c r="B231" s="73">
        <v>91950</v>
      </c>
      <c r="C231" s="74" t="s">
        <v>37</v>
      </c>
      <c r="D231" s="75" t="s">
        <v>25</v>
      </c>
      <c r="E231" s="76">
        <v>46226.197222222203</v>
      </c>
      <c r="F231" s="77">
        <v>46226.458333333299</v>
      </c>
      <c r="G231" s="77">
        <v>46226.206250000003</v>
      </c>
      <c r="H231" s="78" t="s">
        <v>26</v>
      </c>
      <c r="I231" s="16">
        <f t="shared" si="6"/>
        <v>1</v>
      </c>
      <c r="J231" s="16">
        <v>1</v>
      </c>
      <c r="K231" s="17"/>
      <c r="L231" s="18"/>
      <c r="M231" s="19"/>
      <c r="N231" s="20"/>
      <c r="O231" s="20"/>
      <c r="P231" s="21"/>
      <c r="Q231" s="15"/>
      <c r="R231" s="51" t="str">
        <f t="shared" si="7"/>
        <v>DENTRO DO PRAZO</v>
      </c>
      <c r="S231" s="82"/>
      <c r="T231" s="49" t="s">
        <v>27</v>
      </c>
      <c r="U231" s="83">
        <v>9.0277777777777804E-3</v>
      </c>
    </row>
    <row r="232" spans="1:21" x14ac:dyDescent="0.2">
      <c r="A232" s="72">
        <v>46204</v>
      </c>
      <c r="B232" s="73">
        <v>91951</v>
      </c>
      <c r="C232" s="74" t="s">
        <v>37</v>
      </c>
      <c r="D232" s="75" t="s">
        <v>25</v>
      </c>
      <c r="E232" s="76">
        <v>46226.197222222203</v>
      </c>
      <c r="F232" s="77">
        <v>46226.458333333299</v>
      </c>
      <c r="G232" s="77">
        <v>46226.206250000003</v>
      </c>
      <c r="H232" s="78" t="s">
        <v>26</v>
      </c>
      <c r="I232" s="16">
        <f t="shared" si="6"/>
        <v>1</v>
      </c>
      <c r="J232" s="16">
        <v>1</v>
      </c>
      <c r="K232" s="17"/>
      <c r="L232" s="18"/>
      <c r="M232" s="19"/>
      <c r="N232" s="20"/>
      <c r="O232" s="20"/>
      <c r="P232" s="21"/>
      <c r="Q232" s="15"/>
      <c r="R232" s="51" t="str">
        <f t="shared" si="7"/>
        <v>DENTRO DO PRAZO</v>
      </c>
      <c r="S232" s="82"/>
      <c r="T232" s="49" t="s">
        <v>27</v>
      </c>
      <c r="U232" s="83">
        <v>9.0277777777777804E-3</v>
      </c>
    </row>
    <row r="233" spans="1:21" x14ac:dyDescent="0.2">
      <c r="A233" s="72">
        <v>46204</v>
      </c>
      <c r="B233" s="73">
        <v>91952</v>
      </c>
      <c r="C233" s="74" t="s">
        <v>37</v>
      </c>
      <c r="D233" s="75" t="s">
        <v>25</v>
      </c>
      <c r="E233" s="76">
        <v>46226.197222222203</v>
      </c>
      <c r="F233" s="77">
        <v>46226.458333333299</v>
      </c>
      <c r="G233" s="77">
        <v>46226.206250000003</v>
      </c>
      <c r="H233" s="78" t="s">
        <v>26</v>
      </c>
      <c r="I233" s="16">
        <f t="shared" si="6"/>
        <v>1</v>
      </c>
      <c r="J233" s="16">
        <v>1</v>
      </c>
      <c r="K233" s="17"/>
      <c r="L233" s="18"/>
      <c r="M233" s="19"/>
      <c r="N233" s="20"/>
      <c r="O233" s="20"/>
      <c r="P233" s="21"/>
      <c r="Q233" s="15"/>
      <c r="R233" s="51" t="str">
        <f t="shared" si="7"/>
        <v>DENTRO DO PRAZO</v>
      </c>
      <c r="S233" s="82"/>
      <c r="T233" s="49" t="s">
        <v>27</v>
      </c>
      <c r="U233" s="83">
        <v>9.0277777777777804E-3</v>
      </c>
    </row>
    <row r="234" spans="1:21" x14ac:dyDescent="0.2">
      <c r="A234" s="72">
        <v>46204</v>
      </c>
      <c r="B234" s="73">
        <v>91953</v>
      </c>
      <c r="C234" s="74" t="s">
        <v>37</v>
      </c>
      <c r="D234" s="75" t="s">
        <v>25</v>
      </c>
      <c r="E234" s="76">
        <v>46226.197222222203</v>
      </c>
      <c r="F234" s="77">
        <v>46226.458333333299</v>
      </c>
      <c r="G234" s="77">
        <v>46226.206250000003</v>
      </c>
      <c r="H234" s="78" t="s">
        <v>26</v>
      </c>
      <c r="I234" s="16">
        <f t="shared" si="6"/>
        <v>1</v>
      </c>
      <c r="J234" s="16">
        <v>1</v>
      </c>
      <c r="K234" s="17"/>
      <c r="L234" s="18"/>
      <c r="M234" s="19"/>
      <c r="N234" s="20"/>
      <c r="O234" s="20"/>
      <c r="P234" s="21"/>
      <c r="Q234" s="15"/>
      <c r="R234" s="51" t="str">
        <f t="shared" si="7"/>
        <v>DENTRO DO PRAZO</v>
      </c>
      <c r="S234" s="82"/>
      <c r="T234" s="49" t="s">
        <v>27</v>
      </c>
      <c r="U234" s="83">
        <v>9.0277777777777804E-3</v>
      </c>
    </row>
    <row r="235" spans="1:21" x14ac:dyDescent="0.2">
      <c r="A235" s="72">
        <v>46204</v>
      </c>
      <c r="B235" s="73">
        <v>91954</v>
      </c>
      <c r="C235" s="74" t="s">
        <v>37</v>
      </c>
      <c r="D235" s="75" t="s">
        <v>25</v>
      </c>
      <c r="E235" s="76">
        <v>46226.197222222203</v>
      </c>
      <c r="F235" s="77">
        <v>46226.458333333299</v>
      </c>
      <c r="G235" s="77">
        <v>46226.206250000003</v>
      </c>
      <c r="H235" s="78" t="s">
        <v>26</v>
      </c>
      <c r="I235" s="16">
        <f t="shared" si="6"/>
        <v>1</v>
      </c>
      <c r="J235" s="16">
        <v>1</v>
      </c>
      <c r="K235" s="17"/>
      <c r="L235" s="18"/>
      <c r="M235" s="19"/>
      <c r="N235" s="20"/>
      <c r="O235" s="20"/>
      <c r="P235" s="21"/>
      <c r="Q235" s="15"/>
      <c r="R235" s="51" t="str">
        <f t="shared" si="7"/>
        <v>DENTRO DO PRAZO</v>
      </c>
      <c r="S235" s="82"/>
      <c r="T235" s="49" t="s">
        <v>27</v>
      </c>
      <c r="U235" s="83">
        <v>9.0277777777777804E-3</v>
      </c>
    </row>
    <row r="236" spans="1:21" x14ac:dyDescent="0.2">
      <c r="A236" s="72">
        <v>46204</v>
      </c>
      <c r="B236" s="73">
        <v>91955</v>
      </c>
      <c r="C236" s="74" t="s">
        <v>37</v>
      </c>
      <c r="D236" s="75" t="s">
        <v>25</v>
      </c>
      <c r="E236" s="76">
        <v>46226.197222222203</v>
      </c>
      <c r="F236" s="77">
        <v>46226.458333333299</v>
      </c>
      <c r="G236" s="77">
        <v>46226.206250000003</v>
      </c>
      <c r="H236" s="78" t="s">
        <v>26</v>
      </c>
      <c r="I236" s="16">
        <f t="shared" si="6"/>
        <v>1</v>
      </c>
      <c r="J236" s="16">
        <v>1</v>
      </c>
      <c r="K236" s="17"/>
      <c r="L236" s="18"/>
      <c r="M236" s="19"/>
      <c r="N236" s="20"/>
      <c r="O236" s="20"/>
      <c r="P236" s="21"/>
      <c r="Q236" s="15"/>
      <c r="R236" s="51" t="str">
        <f t="shared" si="7"/>
        <v>DENTRO DO PRAZO</v>
      </c>
      <c r="S236" s="82"/>
      <c r="T236" s="49" t="s">
        <v>27</v>
      </c>
      <c r="U236" s="83">
        <v>9.0277777777777804E-3</v>
      </c>
    </row>
    <row r="237" spans="1:21" x14ac:dyDescent="0.2">
      <c r="A237" s="72">
        <v>46204</v>
      </c>
      <c r="B237" s="73">
        <v>91956</v>
      </c>
      <c r="C237" s="74" t="s">
        <v>37</v>
      </c>
      <c r="D237" s="75" t="s">
        <v>25</v>
      </c>
      <c r="E237" s="76">
        <v>46226.197222222203</v>
      </c>
      <c r="F237" s="77">
        <v>46226.458333333299</v>
      </c>
      <c r="G237" s="77">
        <v>46226.206250000003</v>
      </c>
      <c r="H237" s="78" t="s">
        <v>26</v>
      </c>
      <c r="I237" s="16">
        <f t="shared" si="6"/>
        <v>1</v>
      </c>
      <c r="J237" s="16">
        <v>1</v>
      </c>
      <c r="K237" s="17"/>
      <c r="L237" s="18"/>
      <c r="M237" s="19"/>
      <c r="N237" s="20"/>
      <c r="O237" s="20"/>
      <c r="P237" s="21"/>
      <c r="Q237" s="15"/>
      <c r="R237" s="51" t="str">
        <f t="shared" si="7"/>
        <v>DENTRO DO PRAZO</v>
      </c>
      <c r="S237" s="82"/>
      <c r="T237" s="49" t="s">
        <v>27</v>
      </c>
      <c r="U237" s="83">
        <v>9.0277777777777804E-3</v>
      </c>
    </row>
    <row r="238" spans="1:21" x14ac:dyDescent="0.2">
      <c r="A238" s="72">
        <v>46204</v>
      </c>
      <c r="B238" s="73">
        <v>91957</v>
      </c>
      <c r="C238" s="74" t="s">
        <v>37</v>
      </c>
      <c r="D238" s="75" t="s">
        <v>25</v>
      </c>
      <c r="E238" s="76">
        <v>46226.197222222203</v>
      </c>
      <c r="F238" s="77">
        <v>46226.458333333299</v>
      </c>
      <c r="G238" s="77">
        <v>46226.206250000003</v>
      </c>
      <c r="H238" s="78" t="s">
        <v>26</v>
      </c>
      <c r="I238" s="16">
        <f t="shared" si="6"/>
        <v>1</v>
      </c>
      <c r="J238" s="16">
        <v>1</v>
      </c>
      <c r="K238" s="17"/>
      <c r="L238" s="18"/>
      <c r="M238" s="19"/>
      <c r="N238" s="20"/>
      <c r="O238" s="20"/>
      <c r="P238" s="21"/>
      <c r="Q238" s="15"/>
      <c r="R238" s="51" t="str">
        <f t="shared" si="7"/>
        <v>DENTRO DO PRAZO</v>
      </c>
      <c r="S238" s="82"/>
      <c r="T238" s="49" t="s">
        <v>27</v>
      </c>
      <c r="U238" s="83">
        <v>9.0277777777777804E-3</v>
      </c>
    </row>
    <row r="239" spans="1:21" x14ac:dyDescent="0.2">
      <c r="A239" s="72">
        <v>46204</v>
      </c>
      <c r="B239" s="73">
        <v>91958</v>
      </c>
      <c r="C239" s="74" t="s">
        <v>37</v>
      </c>
      <c r="D239" s="75" t="s">
        <v>25</v>
      </c>
      <c r="E239" s="76">
        <v>46226.197222222203</v>
      </c>
      <c r="F239" s="77">
        <v>46226.458333333299</v>
      </c>
      <c r="G239" s="77">
        <v>46226.206250000003</v>
      </c>
      <c r="H239" s="78" t="s">
        <v>26</v>
      </c>
      <c r="I239" s="16">
        <f t="shared" si="6"/>
        <v>1</v>
      </c>
      <c r="J239" s="16">
        <v>1</v>
      </c>
      <c r="K239" s="17"/>
      <c r="L239" s="18"/>
      <c r="M239" s="19"/>
      <c r="N239" s="20"/>
      <c r="O239" s="20"/>
      <c r="P239" s="21"/>
      <c r="Q239" s="15"/>
      <c r="R239" s="51" t="str">
        <f t="shared" si="7"/>
        <v>DENTRO DO PRAZO</v>
      </c>
      <c r="S239" s="82"/>
      <c r="T239" s="49" t="s">
        <v>27</v>
      </c>
      <c r="U239" s="83">
        <v>9.0277777777777804E-3</v>
      </c>
    </row>
    <row r="240" spans="1:21" x14ac:dyDescent="0.2">
      <c r="A240" s="72">
        <v>46204</v>
      </c>
      <c r="B240" s="73">
        <v>91975</v>
      </c>
      <c r="C240" s="74" t="s">
        <v>42</v>
      </c>
      <c r="D240" s="75" t="s">
        <v>25</v>
      </c>
      <c r="E240" s="76">
        <v>46226.422222222202</v>
      </c>
      <c r="F240" s="77">
        <v>46226.505555555603</v>
      </c>
      <c r="G240" s="77">
        <v>46226.465277777803</v>
      </c>
      <c r="H240" s="78" t="s">
        <v>26</v>
      </c>
      <c r="I240" s="16">
        <f t="shared" si="6"/>
        <v>1</v>
      </c>
      <c r="J240" s="16">
        <v>1</v>
      </c>
      <c r="K240" s="17"/>
      <c r="L240" s="18"/>
      <c r="M240" s="19"/>
      <c r="N240" s="20"/>
      <c r="O240" s="20"/>
      <c r="P240" s="21"/>
      <c r="Q240" s="15"/>
      <c r="R240" s="51" t="str">
        <f t="shared" si="7"/>
        <v>DENTRO DO PRAZO</v>
      </c>
      <c r="S240" s="82"/>
      <c r="T240" s="49" t="s">
        <v>29</v>
      </c>
      <c r="U240" s="83">
        <v>4.3055555555555597E-2</v>
      </c>
    </row>
    <row r="241" spans="1:21" x14ac:dyDescent="0.2">
      <c r="A241" s="72">
        <v>46204</v>
      </c>
      <c r="B241" s="73">
        <v>91992</v>
      </c>
      <c r="C241" s="74" t="s">
        <v>39</v>
      </c>
      <c r="D241" s="75" t="s">
        <v>25</v>
      </c>
      <c r="E241" s="76">
        <v>46226.484722222202</v>
      </c>
      <c r="F241" s="77">
        <v>46226.568055555603</v>
      </c>
      <c r="G241" s="77">
        <v>46226.485416666699</v>
      </c>
      <c r="H241" s="78" t="s">
        <v>26</v>
      </c>
      <c r="I241" s="16">
        <f t="shared" si="6"/>
        <v>1</v>
      </c>
      <c r="J241" s="16">
        <v>1</v>
      </c>
      <c r="K241" s="17"/>
      <c r="L241" s="18"/>
      <c r="M241" s="19"/>
      <c r="N241" s="20"/>
      <c r="O241" s="20"/>
      <c r="P241" s="21"/>
      <c r="Q241" s="15"/>
      <c r="R241" s="51" t="str">
        <f t="shared" si="7"/>
        <v>DENTRO DO PRAZO</v>
      </c>
      <c r="S241" s="82"/>
      <c r="T241" s="49" t="s">
        <v>40</v>
      </c>
      <c r="U241" s="83">
        <v>6.9444444444444501E-4</v>
      </c>
    </row>
    <row r="242" spans="1:21" x14ac:dyDescent="0.2">
      <c r="A242" s="72">
        <v>46204</v>
      </c>
      <c r="B242" s="73">
        <v>91993</v>
      </c>
      <c r="C242" s="74" t="s">
        <v>39</v>
      </c>
      <c r="D242" s="75" t="s">
        <v>25</v>
      </c>
      <c r="E242" s="76">
        <v>46226.486111111102</v>
      </c>
      <c r="F242" s="77">
        <v>46226.569444444503</v>
      </c>
      <c r="G242" s="77">
        <v>46226.4868055556</v>
      </c>
      <c r="H242" s="78" t="s">
        <v>26</v>
      </c>
      <c r="I242" s="16">
        <f t="shared" si="6"/>
        <v>1</v>
      </c>
      <c r="J242" s="16">
        <v>1</v>
      </c>
      <c r="K242" s="17"/>
      <c r="L242" s="18"/>
      <c r="M242" s="19"/>
      <c r="N242" s="20"/>
      <c r="O242" s="20"/>
      <c r="P242" s="21"/>
      <c r="Q242" s="15"/>
      <c r="R242" s="51" t="str">
        <f t="shared" si="7"/>
        <v>DENTRO DO PRAZO</v>
      </c>
      <c r="S242" s="82"/>
      <c r="T242" s="49" t="s">
        <v>40</v>
      </c>
      <c r="U242" s="83">
        <v>6.9444444444444501E-4</v>
      </c>
    </row>
    <row r="243" spans="1:21" x14ac:dyDescent="0.2">
      <c r="A243" s="72">
        <v>46204</v>
      </c>
      <c r="B243" s="73">
        <v>91995</v>
      </c>
      <c r="C243" s="74" t="s">
        <v>39</v>
      </c>
      <c r="D243" s="75" t="s">
        <v>25</v>
      </c>
      <c r="E243" s="76">
        <v>46226.488194444399</v>
      </c>
      <c r="F243" s="77">
        <v>46226.5715277778</v>
      </c>
      <c r="G243" s="77">
        <v>46226.490277777797</v>
      </c>
      <c r="H243" s="78" t="s">
        <v>26</v>
      </c>
      <c r="I243" s="16">
        <f t="shared" si="6"/>
        <v>1</v>
      </c>
      <c r="J243" s="16">
        <v>1</v>
      </c>
      <c r="K243" s="17"/>
      <c r="L243" s="18"/>
      <c r="M243" s="19"/>
      <c r="N243" s="20"/>
      <c r="O243" s="20"/>
      <c r="P243" s="21"/>
      <c r="Q243" s="15"/>
      <c r="R243" s="51" t="str">
        <f t="shared" si="7"/>
        <v>DENTRO DO PRAZO</v>
      </c>
      <c r="S243" s="82"/>
      <c r="T243" s="49" t="s">
        <v>40</v>
      </c>
      <c r="U243" s="83">
        <v>2.0833333333333298E-3</v>
      </c>
    </row>
    <row r="244" spans="1:21" x14ac:dyDescent="0.2">
      <c r="A244" s="72">
        <v>46204</v>
      </c>
      <c r="B244" s="73">
        <v>91996</v>
      </c>
      <c r="C244" s="74" t="s">
        <v>39</v>
      </c>
      <c r="D244" s="75" t="s">
        <v>25</v>
      </c>
      <c r="E244" s="76">
        <v>46226.489583333299</v>
      </c>
      <c r="F244" s="77">
        <v>46226.572916666701</v>
      </c>
      <c r="G244" s="77">
        <v>46226.4909722222</v>
      </c>
      <c r="H244" s="78" t="s">
        <v>26</v>
      </c>
      <c r="I244" s="16">
        <f t="shared" si="6"/>
        <v>1</v>
      </c>
      <c r="J244" s="16">
        <v>1</v>
      </c>
      <c r="K244" s="17"/>
      <c r="L244" s="18"/>
      <c r="M244" s="19"/>
      <c r="N244" s="20"/>
      <c r="O244" s="20"/>
      <c r="P244" s="21"/>
      <c r="Q244" s="15"/>
      <c r="R244" s="51" t="str">
        <f t="shared" si="7"/>
        <v>DENTRO DO PRAZO</v>
      </c>
      <c r="S244" s="82"/>
      <c r="T244" s="49" t="s">
        <v>40</v>
      </c>
      <c r="U244" s="83">
        <v>1.38888888888889E-3</v>
      </c>
    </row>
    <row r="245" spans="1:21" x14ac:dyDescent="0.2">
      <c r="A245" s="72">
        <v>46204</v>
      </c>
      <c r="B245" s="73">
        <v>91998</v>
      </c>
      <c r="C245" s="74" t="s">
        <v>42</v>
      </c>
      <c r="D245" s="75" t="s">
        <v>25</v>
      </c>
      <c r="E245" s="76">
        <v>46226.4909722222</v>
      </c>
      <c r="F245" s="77">
        <v>46226.574305555601</v>
      </c>
      <c r="G245" s="77">
        <v>46226.502083333296</v>
      </c>
      <c r="H245" s="78" t="s">
        <v>26</v>
      </c>
      <c r="I245" s="16">
        <f t="shared" si="6"/>
        <v>1</v>
      </c>
      <c r="J245" s="16">
        <v>1</v>
      </c>
      <c r="K245" s="17"/>
      <c r="L245" s="18"/>
      <c r="M245" s="19"/>
      <c r="N245" s="20"/>
      <c r="O245" s="20"/>
      <c r="P245" s="21"/>
      <c r="Q245" s="15"/>
      <c r="R245" s="51" t="str">
        <f t="shared" si="7"/>
        <v>DENTRO DO PRAZO</v>
      </c>
      <c r="S245" s="82"/>
      <c r="T245" s="49" t="s">
        <v>29</v>
      </c>
      <c r="U245" s="83">
        <v>1.1111111111111099E-2</v>
      </c>
    </row>
    <row r="246" spans="1:21" x14ac:dyDescent="0.2">
      <c r="A246" s="72">
        <v>46204</v>
      </c>
      <c r="B246" s="73">
        <v>92098</v>
      </c>
      <c r="C246" s="74" t="s">
        <v>37</v>
      </c>
      <c r="D246" s="75" t="s">
        <v>25</v>
      </c>
      <c r="E246" s="76">
        <v>46226.785416666702</v>
      </c>
      <c r="F246" s="77">
        <v>46227.458333333299</v>
      </c>
      <c r="G246" s="77">
        <v>46226.787499999999</v>
      </c>
      <c r="H246" s="78" t="s">
        <v>26</v>
      </c>
      <c r="I246" s="16">
        <f t="shared" si="6"/>
        <v>1</v>
      </c>
      <c r="J246" s="16">
        <v>1</v>
      </c>
      <c r="K246" s="17"/>
      <c r="L246" s="18"/>
      <c r="M246" s="19"/>
      <c r="N246" s="20"/>
      <c r="O246" s="20"/>
      <c r="P246" s="21"/>
      <c r="Q246" s="15"/>
      <c r="R246" s="51" t="str">
        <f t="shared" si="7"/>
        <v>DENTRO DO PRAZO</v>
      </c>
      <c r="S246" s="82"/>
      <c r="T246" s="49" t="s">
        <v>27</v>
      </c>
      <c r="U246" s="83">
        <v>2.0833333333333298E-3</v>
      </c>
    </row>
    <row r="247" spans="1:21" x14ac:dyDescent="0.2">
      <c r="A247" s="72">
        <v>46204</v>
      </c>
      <c r="B247" s="73">
        <v>92162</v>
      </c>
      <c r="C247" s="74" t="s">
        <v>30</v>
      </c>
      <c r="D247" s="75" t="s">
        <v>25</v>
      </c>
      <c r="E247" s="76">
        <v>46227.4375</v>
      </c>
      <c r="F247" s="77">
        <v>46227.527777777803</v>
      </c>
      <c r="G247" s="77">
        <v>46227.495138888902</v>
      </c>
      <c r="H247" s="78" t="s">
        <v>26</v>
      </c>
      <c r="I247" s="16">
        <f t="shared" si="6"/>
        <v>1</v>
      </c>
      <c r="J247" s="16">
        <v>1</v>
      </c>
      <c r="K247" s="17"/>
      <c r="L247" s="18"/>
      <c r="M247" s="19"/>
      <c r="N247" s="20"/>
      <c r="O247" s="20"/>
      <c r="P247" s="21"/>
      <c r="Q247" s="15"/>
      <c r="R247" s="51" t="str">
        <f t="shared" si="7"/>
        <v>DENTRO DO PRAZO</v>
      </c>
      <c r="S247" s="82"/>
      <c r="T247" s="49" t="s">
        <v>29</v>
      </c>
      <c r="U247" s="83">
        <v>5.7638888888888899E-2</v>
      </c>
    </row>
    <row r="248" spans="1:21" x14ac:dyDescent="0.2">
      <c r="A248" s="72">
        <v>46204</v>
      </c>
      <c r="B248" s="73">
        <v>92183</v>
      </c>
      <c r="C248" s="74" t="s">
        <v>41</v>
      </c>
      <c r="D248" s="75" t="s">
        <v>25</v>
      </c>
      <c r="E248" s="76">
        <v>46227.4777777778</v>
      </c>
      <c r="F248" s="77">
        <v>46227.561111111099</v>
      </c>
      <c r="G248" s="77">
        <v>46227.5180555556</v>
      </c>
      <c r="H248" s="78" t="s">
        <v>26</v>
      </c>
      <c r="I248" s="16">
        <f t="shared" si="6"/>
        <v>1</v>
      </c>
      <c r="J248" s="16">
        <v>1</v>
      </c>
      <c r="K248" s="17"/>
      <c r="L248" s="18"/>
      <c r="M248" s="19"/>
      <c r="N248" s="20"/>
      <c r="O248" s="20"/>
      <c r="P248" s="21"/>
      <c r="Q248" s="15"/>
      <c r="R248" s="51" t="str">
        <f t="shared" si="7"/>
        <v>DENTRO DO PRAZO</v>
      </c>
      <c r="S248" s="82"/>
      <c r="T248" s="49" t="s">
        <v>29</v>
      </c>
      <c r="U248" s="83">
        <v>4.0277777777777801E-2</v>
      </c>
    </row>
    <row r="249" spans="1:21" x14ac:dyDescent="0.2">
      <c r="A249" s="72">
        <v>46204</v>
      </c>
      <c r="B249" s="73">
        <v>92239</v>
      </c>
      <c r="C249" s="74" t="s">
        <v>37</v>
      </c>
      <c r="D249" s="75" t="s">
        <v>25</v>
      </c>
      <c r="E249" s="76">
        <v>46229.404861111099</v>
      </c>
      <c r="F249" s="77">
        <v>46230.458333333299</v>
      </c>
      <c r="G249" s="77">
        <v>46229.40625</v>
      </c>
      <c r="H249" s="78" t="s">
        <v>26</v>
      </c>
      <c r="I249" s="16">
        <f t="shared" si="6"/>
        <v>1</v>
      </c>
      <c r="J249" s="16">
        <v>1</v>
      </c>
      <c r="K249" s="17"/>
      <c r="L249" s="18"/>
      <c r="M249" s="19"/>
      <c r="N249" s="20"/>
      <c r="O249" s="20"/>
      <c r="P249" s="21"/>
      <c r="Q249" s="15"/>
      <c r="R249" s="51" t="str">
        <f t="shared" si="7"/>
        <v>DENTRO DO PRAZO</v>
      </c>
      <c r="S249" s="82"/>
      <c r="T249" s="49" t="s">
        <v>27</v>
      </c>
      <c r="U249" s="83">
        <v>1.38888888888889E-3</v>
      </c>
    </row>
    <row r="250" spans="1:21" x14ac:dyDescent="0.2">
      <c r="A250" s="72">
        <v>46204</v>
      </c>
      <c r="B250" s="73">
        <v>92240</v>
      </c>
      <c r="C250" s="74" t="s">
        <v>37</v>
      </c>
      <c r="D250" s="75" t="s">
        <v>25</v>
      </c>
      <c r="E250" s="76">
        <v>46229.4284722222</v>
      </c>
      <c r="F250" s="77">
        <v>46230.458333333299</v>
      </c>
      <c r="G250" s="77">
        <v>46229.429166666698</v>
      </c>
      <c r="H250" s="78" t="s">
        <v>26</v>
      </c>
      <c r="I250" s="16">
        <f t="shared" si="6"/>
        <v>1</v>
      </c>
      <c r="J250" s="16">
        <v>1</v>
      </c>
      <c r="K250" s="17"/>
      <c r="L250" s="18"/>
      <c r="M250" s="19"/>
      <c r="N250" s="20"/>
      <c r="O250" s="20"/>
      <c r="P250" s="21"/>
      <c r="Q250" s="15"/>
      <c r="R250" s="51" t="str">
        <f t="shared" si="7"/>
        <v>DENTRO DO PRAZO</v>
      </c>
      <c r="S250" s="82"/>
      <c r="T250" s="49" t="s">
        <v>27</v>
      </c>
      <c r="U250" s="83">
        <v>6.9444444444444501E-4</v>
      </c>
    </row>
    <row r="251" spans="1:21" x14ac:dyDescent="0.2">
      <c r="A251" s="72">
        <v>46204</v>
      </c>
      <c r="B251" s="73">
        <v>92241</v>
      </c>
      <c r="C251" s="74" t="s">
        <v>37</v>
      </c>
      <c r="D251" s="75" t="s">
        <v>25</v>
      </c>
      <c r="E251" s="76">
        <v>46229.447222222203</v>
      </c>
      <c r="F251" s="77">
        <v>46230.458333333299</v>
      </c>
      <c r="G251" s="77">
        <v>46229.448611111096</v>
      </c>
      <c r="H251" s="78" t="s">
        <v>26</v>
      </c>
      <c r="I251" s="16">
        <f t="shared" si="6"/>
        <v>1</v>
      </c>
      <c r="J251" s="16">
        <v>1</v>
      </c>
      <c r="K251" s="17"/>
      <c r="L251" s="18"/>
      <c r="M251" s="19"/>
      <c r="N251" s="20"/>
      <c r="O251" s="20"/>
      <c r="P251" s="21"/>
      <c r="Q251" s="15"/>
      <c r="R251" s="51" t="str">
        <f t="shared" si="7"/>
        <v>DENTRO DO PRAZO</v>
      </c>
      <c r="S251" s="82"/>
      <c r="T251" s="49" t="s">
        <v>27</v>
      </c>
      <c r="U251" s="83">
        <v>1.38888888888889E-3</v>
      </c>
    </row>
    <row r="252" spans="1:21" x14ac:dyDescent="0.2">
      <c r="A252" s="72">
        <v>46204</v>
      </c>
      <c r="B252" s="73">
        <v>92242</v>
      </c>
      <c r="C252" s="74" t="s">
        <v>37</v>
      </c>
      <c r="D252" s="75" t="s">
        <v>25</v>
      </c>
      <c r="E252" s="76">
        <v>46229.481249999997</v>
      </c>
      <c r="F252" s="77">
        <v>46230.458333333299</v>
      </c>
      <c r="G252" s="77">
        <v>46229.486111111102</v>
      </c>
      <c r="H252" s="78" t="s">
        <v>26</v>
      </c>
      <c r="I252" s="16">
        <f t="shared" si="6"/>
        <v>1</v>
      </c>
      <c r="J252" s="16">
        <v>1</v>
      </c>
      <c r="K252" s="17"/>
      <c r="L252" s="18"/>
      <c r="M252" s="19"/>
      <c r="N252" s="20"/>
      <c r="O252" s="20"/>
      <c r="P252" s="21"/>
      <c r="Q252" s="15"/>
      <c r="R252" s="51" t="str">
        <f t="shared" si="7"/>
        <v>DENTRO DO PRAZO</v>
      </c>
      <c r="S252" s="82"/>
      <c r="T252" s="49" t="s">
        <v>27</v>
      </c>
      <c r="U252" s="83">
        <v>4.8611111111111103E-3</v>
      </c>
    </row>
    <row r="253" spans="1:21" x14ac:dyDescent="0.2">
      <c r="A253" s="72">
        <v>46204</v>
      </c>
      <c r="B253" s="73">
        <v>92243</v>
      </c>
      <c r="C253" s="74" t="s">
        <v>37</v>
      </c>
      <c r="D253" s="75" t="s">
        <v>25</v>
      </c>
      <c r="E253" s="76">
        <v>46229.4909722222</v>
      </c>
      <c r="F253" s="77">
        <v>46230.458333333299</v>
      </c>
      <c r="G253" s="77">
        <v>46229.502777777801</v>
      </c>
      <c r="H253" s="78" t="s">
        <v>26</v>
      </c>
      <c r="I253" s="16">
        <f t="shared" si="6"/>
        <v>1</v>
      </c>
      <c r="J253" s="16">
        <v>1</v>
      </c>
      <c r="K253" s="17"/>
      <c r="L253" s="18"/>
      <c r="M253" s="19"/>
      <c r="N253" s="20"/>
      <c r="O253" s="20"/>
      <c r="P253" s="21"/>
      <c r="Q253" s="15"/>
      <c r="R253" s="51" t="str">
        <f t="shared" si="7"/>
        <v>DENTRO DO PRAZO</v>
      </c>
      <c r="S253" s="82"/>
      <c r="T253" s="49" t="s">
        <v>27</v>
      </c>
      <c r="U253" s="83">
        <v>1.18055555555556E-2</v>
      </c>
    </row>
    <row r="254" spans="1:21" x14ac:dyDescent="0.2">
      <c r="A254" s="72">
        <v>46204</v>
      </c>
      <c r="B254" s="73">
        <v>92244</v>
      </c>
      <c r="C254" s="74" t="s">
        <v>37</v>
      </c>
      <c r="D254" s="75" t="s">
        <v>25</v>
      </c>
      <c r="E254" s="76">
        <v>46229.507638888899</v>
      </c>
      <c r="F254" s="77">
        <v>46230.458333333299</v>
      </c>
      <c r="G254" s="77">
        <v>46229.5090277778</v>
      </c>
      <c r="H254" s="78" t="s">
        <v>26</v>
      </c>
      <c r="I254" s="16">
        <f t="shared" si="6"/>
        <v>1</v>
      </c>
      <c r="J254" s="16">
        <v>1</v>
      </c>
      <c r="K254" s="17"/>
      <c r="L254" s="18"/>
      <c r="M254" s="19"/>
      <c r="N254" s="20"/>
      <c r="O254" s="20"/>
      <c r="P254" s="21"/>
      <c r="Q254" s="15"/>
      <c r="R254" s="51" t="str">
        <f t="shared" si="7"/>
        <v>DENTRO DO PRAZO</v>
      </c>
      <c r="S254" s="82"/>
      <c r="T254" s="49" t="s">
        <v>27</v>
      </c>
      <c r="U254" s="83">
        <v>1.38888888888889E-3</v>
      </c>
    </row>
    <row r="255" spans="1:21" x14ac:dyDescent="0.2">
      <c r="A255" s="72">
        <v>46204</v>
      </c>
      <c r="B255" s="73">
        <v>92245</v>
      </c>
      <c r="C255" s="74" t="s">
        <v>37</v>
      </c>
      <c r="D255" s="75" t="s">
        <v>25</v>
      </c>
      <c r="E255" s="76">
        <v>46229.527777777803</v>
      </c>
      <c r="F255" s="77">
        <v>46230.458333333299</v>
      </c>
      <c r="G255" s="77">
        <v>46229.531944444498</v>
      </c>
      <c r="H255" s="78" t="s">
        <v>26</v>
      </c>
      <c r="I255" s="16">
        <f t="shared" si="6"/>
        <v>1</v>
      </c>
      <c r="J255" s="16">
        <v>1</v>
      </c>
      <c r="K255" s="17"/>
      <c r="L255" s="18"/>
      <c r="M255" s="19"/>
      <c r="N255" s="20"/>
      <c r="O255" s="20"/>
      <c r="P255" s="21"/>
      <c r="Q255" s="15"/>
      <c r="R255" s="51" t="str">
        <f t="shared" si="7"/>
        <v>DENTRO DO PRAZO</v>
      </c>
      <c r="S255" s="82"/>
      <c r="T255" s="49" t="s">
        <v>27</v>
      </c>
      <c r="U255" s="83">
        <v>4.1666666666666701E-3</v>
      </c>
    </row>
    <row r="256" spans="1:21" x14ac:dyDescent="0.2">
      <c r="A256" s="72">
        <v>46204</v>
      </c>
      <c r="B256" s="73">
        <v>92246</v>
      </c>
      <c r="C256" s="74" t="s">
        <v>37</v>
      </c>
      <c r="D256" s="75" t="s">
        <v>25</v>
      </c>
      <c r="E256" s="76">
        <v>46229.540972222203</v>
      </c>
      <c r="F256" s="77">
        <v>46230.458333333299</v>
      </c>
      <c r="G256" s="77">
        <v>46229.541666666701</v>
      </c>
      <c r="H256" s="78" t="s">
        <v>26</v>
      </c>
      <c r="I256" s="16">
        <f t="shared" si="6"/>
        <v>1</v>
      </c>
      <c r="J256" s="16">
        <v>1</v>
      </c>
      <c r="K256" s="17"/>
      <c r="L256" s="18"/>
      <c r="M256" s="19"/>
      <c r="N256" s="20"/>
      <c r="O256" s="20"/>
      <c r="P256" s="21"/>
      <c r="Q256" s="15"/>
      <c r="R256" s="51" t="str">
        <f t="shared" si="7"/>
        <v>DENTRO DO PRAZO</v>
      </c>
      <c r="S256" s="82"/>
      <c r="T256" s="49" t="s">
        <v>27</v>
      </c>
      <c r="U256" s="83">
        <v>6.9444444444444501E-4</v>
      </c>
    </row>
    <row r="257" spans="1:21" x14ac:dyDescent="0.2">
      <c r="A257" s="72">
        <v>46204</v>
      </c>
      <c r="B257" s="73">
        <v>92247</v>
      </c>
      <c r="C257" s="74" t="s">
        <v>37</v>
      </c>
      <c r="D257" s="75" t="s">
        <v>25</v>
      </c>
      <c r="E257" s="76">
        <v>46229.626388888901</v>
      </c>
      <c r="F257" s="77">
        <v>46230.458333333299</v>
      </c>
      <c r="G257" s="77">
        <v>46229.627083333296</v>
      </c>
      <c r="H257" s="78" t="s">
        <v>26</v>
      </c>
      <c r="I257" s="16">
        <f t="shared" si="6"/>
        <v>1</v>
      </c>
      <c r="J257" s="16">
        <v>1</v>
      </c>
      <c r="K257" s="17"/>
      <c r="L257" s="18"/>
      <c r="M257" s="19"/>
      <c r="N257" s="20"/>
      <c r="O257" s="20"/>
      <c r="P257" s="21"/>
      <c r="Q257" s="15"/>
      <c r="R257" s="51" t="str">
        <f t="shared" si="7"/>
        <v>DENTRO DO PRAZO</v>
      </c>
      <c r="S257" s="82"/>
      <c r="T257" s="49" t="s">
        <v>27</v>
      </c>
      <c r="U257" s="83">
        <v>6.9444444444444501E-4</v>
      </c>
    </row>
    <row r="258" spans="1:21" x14ac:dyDescent="0.2">
      <c r="A258" s="72">
        <v>46204</v>
      </c>
      <c r="B258" s="73">
        <v>92248</v>
      </c>
      <c r="C258" s="74" t="s">
        <v>37</v>
      </c>
      <c r="D258" s="75" t="s">
        <v>25</v>
      </c>
      <c r="E258" s="76">
        <v>46229.663888888899</v>
      </c>
      <c r="F258" s="77">
        <v>46230.458333333299</v>
      </c>
      <c r="G258" s="77">
        <v>46229.6652777778</v>
      </c>
      <c r="H258" s="78" t="s">
        <v>26</v>
      </c>
      <c r="I258" s="16">
        <f t="shared" si="6"/>
        <v>1</v>
      </c>
      <c r="J258" s="16">
        <v>1</v>
      </c>
      <c r="K258" s="17"/>
      <c r="L258" s="18"/>
      <c r="M258" s="19"/>
      <c r="N258" s="20"/>
      <c r="O258" s="20"/>
      <c r="P258" s="21"/>
      <c r="Q258" s="15"/>
      <c r="R258" s="51" t="str">
        <f t="shared" si="7"/>
        <v>DENTRO DO PRAZO</v>
      </c>
      <c r="S258" s="82"/>
      <c r="T258" s="49" t="s">
        <v>27</v>
      </c>
      <c r="U258" s="83">
        <v>1.38888888888889E-3</v>
      </c>
    </row>
    <row r="259" spans="1:21" x14ac:dyDescent="0.2">
      <c r="A259" s="72">
        <v>46204</v>
      </c>
      <c r="B259" s="73">
        <v>92249</v>
      </c>
      <c r="C259" s="74" t="s">
        <v>37</v>
      </c>
      <c r="D259" s="75" t="s">
        <v>25</v>
      </c>
      <c r="E259" s="76">
        <v>46229.6875</v>
      </c>
      <c r="F259" s="77">
        <v>46230.458333333299</v>
      </c>
      <c r="G259" s="77">
        <v>46229.688194444498</v>
      </c>
      <c r="H259" s="78" t="s">
        <v>26</v>
      </c>
      <c r="I259" s="16">
        <f t="shared" si="6"/>
        <v>1</v>
      </c>
      <c r="J259" s="16">
        <v>1</v>
      </c>
      <c r="K259" s="17"/>
      <c r="L259" s="18"/>
      <c r="M259" s="19"/>
      <c r="N259" s="20"/>
      <c r="O259" s="20"/>
      <c r="P259" s="21"/>
      <c r="Q259" s="15"/>
      <c r="R259" s="51" t="str">
        <f t="shared" si="7"/>
        <v>DENTRO DO PRAZO</v>
      </c>
      <c r="S259" s="82"/>
      <c r="T259" s="49" t="s">
        <v>27</v>
      </c>
      <c r="U259" s="83">
        <v>6.9444444444444501E-4</v>
      </c>
    </row>
    <row r="260" spans="1:21" x14ac:dyDescent="0.2">
      <c r="A260" s="72">
        <v>46204</v>
      </c>
      <c r="B260" s="73">
        <v>92250</v>
      </c>
      <c r="C260" s="74" t="s">
        <v>37</v>
      </c>
      <c r="D260" s="75" t="s">
        <v>25</v>
      </c>
      <c r="E260" s="76">
        <v>46229.813194444498</v>
      </c>
      <c r="F260" s="77">
        <v>46230.458333333299</v>
      </c>
      <c r="G260" s="77">
        <v>46229.813888888901</v>
      </c>
      <c r="H260" s="78" t="s">
        <v>26</v>
      </c>
      <c r="I260" s="16">
        <f t="shared" si="6"/>
        <v>1</v>
      </c>
      <c r="J260" s="16">
        <v>1</v>
      </c>
      <c r="K260" s="17"/>
      <c r="L260" s="18"/>
      <c r="M260" s="19"/>
      <c r="N260" s="20"/>
      <c r="O260" s="20"/>
      <c r="P260" s="21"/>
      <c r="Q260" s="15"/>
      <c r="R260" s="51" t="str">
        <f t="shared" si="7"/>
        <v>DENTRO DO PRAZO</v>
      </c>
      <c r="S260" s="82"/>
      <c r="T260" s="49" t="s">
        <v>27</v>
      </c>
      <c r="U260" s="83">
        <v>6.9444444444444501E-4</v>
      </c>
    </row>
    <row r="261" spans="1:21" x14ac:dyDescent="0.2">
      <c r="A261" s="72">
        <v>46204</v>
      </c>
      <c r="B261" s="73">
        <v>92251</v>
      </c>
      <c r="C261" s="74" t="s">
        <v>37</v>
      </c>
      <c r="D261" s="75" t="s">
        <v>25</v>
      </c>
      <c r="E261" s="76">
        <v>46229.870138888902</v>
      </c>
      <c r="F261" s="77">
        <v>46230.458333333299</v>
      </c>
      <c r="G261" s="77">
        <v>46229.870833333298</v>
      </c>
      <c r="H261" s="78" t="s">
        <v>26</v>
      </c>
      <c r="I261" s="16">
        <f t="shared" ref="I261:I324" si="8">IF(H261="S",1,0)</f>
        <v>1</v>
      </c>
      <c r="J261" s="16">
        <v>1</v>
      </c>
      <c r="K261" s="17"/>
      <c r="L261" s="18"/>
      <c r="M261" s="19"/>
      <c r="N261" s="20"/>
      <c r="O261" s="20"/>
      <c r="P261" s="21"/>
      <c r="Q261" s="15"/>
      <c r="R261" s="51" t="str">
        <f t="shared" ref="R261:R316" si="9">IF(H261="S","DENTRO DO PRAZO","FORA DO PRAZO")</f>
        <v>DENTRO DO PRAZO</v>
      </c>
      <c r="S261" s="82"/>
      <c r="T261" s="49" t="s">
        <v>27</v>
      </c>
      <c r="U261" s="83">
        <v>6.9444444444444501E-4</v>
      </c>
    </row>
    <row r="262" spans="1:21" x14ac:dyDescent="0.2">
      <c r="A262" s="72">
        <v>46204</v>
      </c>
      <c r="B262" s="73">
        <v>92252</v>
      </c>
      <c r="C262" s="74" t="s">
        <v>37</v>
      </c>
      <c r="D262" s="75" t="s">
        <v>25</v>
      </c>
      <c r="E262" s="76">
        <v>46229.931944444397</v>
      </c>
      <c r="F262" s="77">
        <v>46230.458333333299</v>
      </c>
      <c r="G262" s="77">
        <v>46229.932638888902</v>
      </c>
      <c r="H262" s="78" t="s">
        <v>26</v>
      </c>
      <c r="I262" s="16">
        <f t="shared" si="8"/>
        <v>1</v>
      </c>
      <c r="J262" s="16">
        <v>1</v>
      </c>
      <c r="K262" s="17"/>
      <c r="L262" s="18"/>
      <c r="M262" s="19"/>
      <c r="N262" s="20"/>
      <c r="O262" s="20"/>
      <c r="P262" s="21"/>
      <c r="Q262" s="15"/>
      <c r="R262" s="51" t="str">
        <f t="shared" si="9"/>
        <v>DENTRO DO PRAZO</v>
      </c>
      <c r="S262" s="82"/>
      <c r="T262" s="49" t="s">
        <v>27</v>
      </c>
      <c r="U262" s="83">
        <v>6.9444444444444501E-4</v>
      </c>
    </row>
    <row r="263" spans="1:21" x14ac:dyDescent="0.2">
      <c r="A263" s="72">
        <v>46204</v>
      </c>
      <c r="B263" s="73">
        <v>92259</v>
      </c>
      <c r="C263" s="74" t="s">
        <v>37</v>
      </c>
      <c r="D263" s="75" t="s">
        <v>25</v>
      </c>
      <c r="E263" s="76">
        <v>46230.388888888898</v>
      </c>
      <c r="F263" s="77">
        <v>46230.472222222197</v>
      </c>
      <c r="G263" s="77">
        <v>46230.390277777798</v>
      </c>
      <c r="H263" s="78" t="s">
        <v>26</v>
      </c>
      <c r="I263" s="16">
        <f t="shared" si="8"/>
        <v>1</v>
      </c>
      <c r="J263" s="16">
        <v>1</v>
      </c>
      <c r="K263" s="17"/>
      <c r="L263" s="18"/>
      <c r="M263" s="19"/>
      <c r="N263" s="20"/>
      <c r="O263" s="20"/>
      <c r="P263" s="21"/>
      <c r="Q263" s="15"/>
      <c r="R263" s="51" t="str">
        <f t="shared" si="9"/>
        <v>DENTRO DO PRAZO</v>
      </c>
      <c r="S263" s="82"/>
      <c r="T263" s="49" t="s">
        <v>27</v>
      </c>
      <c r="U263" s="83">
        <v>1.38888888888889E-3</v>
      </c>
    </row>
    <row r="264" spans="1:21" x14ac:dyDescent="0.2">
      <c r="A264" s="72">
        <v>46204</v>
      </c>
      <c r="B264" s="73">
        <v>92262</v>
      </c>
      <c r="C264" s="74" t="s">
        <v>37</v>
      </c>
      <c r="D264" s="75" t="s">
        <v>25</v>
      </c>
      <c r="E264" s="76">
        <v>46230.410416666702</v>
      </c>
      <c r="F264" s="77">
        <v>46230.493750000001</v>
      </c>
      <c r="G264" s="77">
        <v>46230.411111111098</v>
      </c>
      <c r="H264" s="78" t="s">
        <v>26</v>
      </c>
      <c r="I264" s="16">
        <f t="shared" si="8"/>
        <v>1</v>
      </c>
      <c r="J264" s="16">
        <v>1</v>
      </c>
      <c r="K264" s="17"/>
      <c r="L264" s="18"/>
      <c r="M264" s="19"/>
      <c r="N264" s="20"/>
      <c r="O264" s="20"/>
      <c r="P264" s="21"/>
      <c r="Q264" s="15"/>
      <c r="R264" s="51" t="str">
        <f t="shared" si="9"/>
        <v>DENTRO DO PRAZO</v>
      </c>
      <c r="S264" s="82"/>
      <c r="T264" s="49" t="s">
        <v>27</v>
      </c>
      <c r="U264" s="83">
        <v>6.9444444444444501E-4</v>
      </c>
    </row>
    <row r="265" spans="1:21" x14ac:dyDescent="0.2">
      <c r="A265" s="72">
        <v>46204</v>
      </c>
      <c r="B265" s="73">
        <v>92278</v>
      </c>
      <c r="C265" s="74" t="s">
        <v>30</v>
      </c>
      <c r="D265" s="75" t="s">
        <v>25</v>
      </c>
      <c r="E265" s="76">
        <v>46230.438888888901</v>
      </c>
      <c r="F265" s="77">
        <v>46230.595138888901</v>
      </c>
      <c r="G265" s="77">
        <v>46230.567361111098</v>
      </c>
      <c r="H265" s="78" t="s">
        <v>26</v>
      </c>
      <c r="I265" s="16">
        <f t="shared" si="8"/>
        <v>1</v>
      </c>
      <c r="J265" s="16">
        <v>1</v>
      </c>
      <c r="K265" s="17"/>
      <c r="L265" s="18"/>
      <c r="M265" s="19"/>
      <c r="N265" s="20"/>
      <c r="O265" s="20"/>
      <c r="P265" s="21"/>
      <c r="Q265" s="15"/>
      <c r="R265" s="51" t="str">
        <f t="shared" si="9"/>
        <v>DENTRO DO PRAZO</v>
      </c>
      <c r="S265" s="82"/>
      <c r="T265" s="49" t="s">
        <v>29</v>
      </c>
      <c r="U265" s="83">
        <v>0.12847222222222199</v>
      </c>
    </row>
    <row r="266" spans="1:21" x14ac:dyDescent="0.2">
      <c r="A266" s="72">
        <v>46204</v>
      </c>
      <c r="B266" s="73">
        <v>92284</v>
      </c>
      <c r="C266" s="74" t="s">
        <v>37</v>
      </c>
      <c r="D266" s="75" t="s">
        <v>25</v>
      </c>
      <c r="E266" s="76">
        <v>46230.452083333301</v>
      </c>
      <c r="F266" s="77">
        <v>46230.535416666702</v>
      </c>
      <c r="G266" s="77">
        <v>46230.4555555556</v>
      </c>
      <c r="H266" s="78" t="s">
        <v>26</v>
      </c>
      <c r="I266" s="16">
        <f t="shared" si="8"/>
        <v>1</v>
      </c>
      <c r="J266" s="16">
        <v>1</v>
      </c>
      <c r="K266" s="17"/>
      <c r="L266" s="18"/>
      <c r="M266" s="19"/>
      <c r="N266" s="20"/>
      <c r="O266" s="20"/>
      <c r="P266" s="21"/>
      <c r="Q266" s="15"/>
      <c r="R266" s="51" t="str">
        <f t="shared" si="9"/>
        <v>DENTRO DO PRAZO</v>
      </c>
      <c r="S266" s="82"/>
      <c r="T266" s="49" t="s">
        <v>27</v>
      </c>
      <c r="U266" s="83">
        <v>3.4722222222222199E-3</v>
      </c>
    </row>
    <row r="267" spans="1:21" x14ac:dyDescent="0.2">
      <c r="A267" s="72">
        <v>46204</v>
      </c>
      <c r="B267" s="73">
        <v>92285</v>
      </c>
      <c r="C267" s="74" t="s">
        <v>38</v>
      </c>
      <c r="D267" s="75" t="s">
        <v>25</v>
      </c>
      <c r="E267" s="76">
        <v>46230.454166666699</v>
      </c>
      <c r="F267" s="77">
        <v>46237.386805555601</v>
      </c>
      <c r="G267" s="77">
        <v>46234.804861111101</v>
      </c>
      <c r="H267" s="78" t="s">
        <v>26</v>
      </c>
      <c r="I267" s="16">
        <f t="shared" si="8"/>
        <v>1</v>
      </c>
      <c r="J267" s="16">
        <v>1</v>
      </c>
      <c r="K267" s="17"/>
      <c r="L267" s="18"/>
      <c r="M267" s="19"/>
      <c r="N267" s="20"/>
      <c r="O267" s="20"/>
      <c r="P267" s="21"/>
      <c r="Q267" s="15"/>
      <c r="R267" s="51" t="str">
        <f t="shared" si="9"/>
        <v>DENTRO DO PRAZO</v>
      </c>
      <c r="S267" s="82"/>
      <c r="T267" s="49" t="s">
        <v>27</v>
      </c>
      <c r="U267" s="83">
        <v>4.35069444444445</v>
      </c>
    </row>
    <row r="268" spans="1:21" x14ac:dyDescent="0.2">
      <c r="A268" s="72">
        <v>46204</v>
      </c>
      <c r="B268" s="73">
        <v>92304</v>
      </c>
      <c r="C268" s="74" t="s">
        <v>37</v>
      </c>
      <c r="D268" s="75" t="s">
        <v>25</v>
      </c>
      <c r="E268" s="76">
        <v>46230.495833333298</v>
      </c>
      <c r="F268" s="77">
        <v>46230.579166666699</v>
      </c>
      <c r="G268" s="77">
        <v>46230.496527777803</v>
      </c>
      <c r="H268" s="78" t="s">
        <v>26</v>
      </c>
      <c r="I268" s="16">
        <f t="shared" si="8"/>
        <v>1</v>
      </c>
      <c r="J268" s="16">
        <v>1</v>
      </c>
      <c r="K268" s="17"/>
      <c r="L268" s="18"/>
      <c r="M268" s="19"/>
      <c r="N268" s="20"/>
      <c r="O268" s="20"/>
      <c r="P268" s="21"/>
      <c r="Q268" s="15"/>
      <c r="R268" s="51" t="str">
        <f t="shared" si="9"/>
        <v>DENTRO DO PRAZO</v>
      </c>
      <c r="S268" s="82"/>
      <c r="T268" s="49" t="s">
        <v>27</v>
      </c>
      <c r="U268" s="83">
        <v>6.9444444444444501E-4</v>
      </c>
    </row>
    <row r="269" spans="1:21" x14ac:dyDescent="0.2">
      <c r="A269" s="72">
        <v>46204</v>
      </c>
      <c r="B269" s="73">
        <v>92305</v>
      </c>
      <c r="C269" s="74" t="s">
        <v>37</v>
      </c>
      <c r="D269" s="75" t="s">
        <v>25</v>
      </c>
      <c r="E269" s="76">
        <v>46230.5</v>
      </c>
      <c r="F269" s="77">
        <v>46230.583333333299</v>
      </c>
      <c r="G269" s="77">
        <v>46230.504861111098</v>
      </c>
      <c r="H269" s="78" t="s">
        <v>26</v>
      </c>
      <c r="I269" s="16">
        <f t="shared" si="8"/>
        <v>1</v>
      </c>
      <c r="J269" s="16">
        <v>1</v>
      </c>
      <c r="K269" s="17"/>
      <c r="L269" s="18"/>
      <c r="M269" s="19"/>
      <c r="N269" s="20"/>
      <c r="O269" s="20"/>
      <c r="P269" s="21"/>
      <c r="Q269" s="15"/>
      <c r="R269" s="51" t="str">
        <f t="shared" si="9"/>
        <v>DENTRO DO PRAZO</v>
      </c>
      <c r="S269" s="82"/>
      <c r="T269" s="49" t="s">
        <v>27</v>
      </c>
      <c r="U269" s="83">
        <v>4.8611111111111103E-3</v>
      </c>
    </row>
    <row r="270" spans="1:21" x14ac:dyDescent="0.2">
      <c r="A270" s="72">
        <v>46204</v>
      </c>
      <c r="B270" s="73">
        <v>92313</v>
      </c>
      <c r="C270" s="74" t="s">
        <v>39</v>
      </c>
      <c r="D270" s="75" t="s">
        <v>25</v>
      </c>
      <c r="E270" s="76">
        <v>46230.5131944444</v>
      </c>
      <c r="F270" s="77">
        <v>46230.596527777801</v>
      </c>
      <c r="G270" s="77">
        <v>46230.527083333298</v>
      </c>
      <c r="H270" s="78" t="s">
        <v>26</v>
      </c>
      <c r="I270" s="16">
        <f t="shared" si="8"/>
        <v>1</v>
      </c>
      <c r="J270" s="16">
        <v>1</v>
      </c>
      <c r="K270" s="17"/>
      <c r="L270" s="18"/>
      <c r="M270" s="19"/>
      <c r="N270" s="20"/>
      <c r="O270" s="20"/>
      <c r="P270" s="21"/>
      <c r="Q270" s="15"/>
      <c r="R270" s="51" t="str">
        <f t="shared" si="9"/>
        <v>DENTRO DO PRAZO</v>
      </c>
      <c r="S270" s="82"/>
      <c r="T270" s="49" t="s">
        <v>40</v>
      </c>
      <c r="U270" s="83">
        <v>1.38888888888889E-2</v>
      </c>
    </row>
    <row r="271" spans="1:21" x14ac:dyDescent="0.2">
      <c r="A271" s="72">
        <v>46204</v>
      </c>
      <c r="B271" s="73">
        <v>92320</v>
      </c>
      <c r="C271" s="74" t="s">
        <v>37</v>
      </c>
      <c r="D271" s="75" t="s">
        <v>25</v>
      </c>
      <c r="E271" s="76">
        <v>46230.554166666698</v>
      </c>
      <c r="F271" s="77">
        <v>46230.637499999997</v>
      </c>
      <c r="G271" s="77">
        <v>46230.556944444397</v>
      </c>
      <c r="H271" s="78" t="s">
        <v>26</v>
      </c>
      <c r="I271" s="16">
        <f t="shared" si="8"/>
        <v>1</v>
      </c>
      <c r="J271" s="16">
        <v>1</v>
      </c>
      <c r="K271" s="17"/>
      <c r="L271" s="18"/>
      <c r="M271" s="19"/>
      <c r="N271" s="20"/>
      <c r="O271" s="20"/>
      <c r="P271" s="21"/>
      <c r="Q271" s="15"/>
      <c r="R271" s="51" t="str">
        <f t="shared" si="9"/>
        <v>DENTRO DO PRAZO</v>
      </c>
      <c r="S271" s="82"/>
      <c r="T271" s="49" t="s">
        <v>27</v>
      </c>
      <c r="U271" s="83">
        <v>2.7777777777777801E-3</v>
      </c>
    </row>
    <row r="272" spans="1:21" x14ac:dyDescent="0.2">
      <c r="A272" s="72">
        <v>46204</v>
      </c>
      <c r="B272" s="73">
        <v>92321</v>
      </c>
      <c r="C272" s="74" t="s">
        <v>37</v>
      </c>
      <c r="D272" s="75" t="s">
        <v>25</v>
      </c>
      <c r="E272" s="76">
        <v>46230.554861111101</v>
      </c>
      <c r="F272" s="77">
        <v>46230.6381944444</v>
      </c>
      <c r="G272" s="77">
        <v>46230.574999999997</v>
      </c>
      <c r="H272" s="78" t="s">
        <v>26</v>
      </c>
      <c r="I272" s="16">
        <f t="shared" si="8"/>
        <v>1</v>
      </c>
      <c r="J272" s="16">
        <v>1</v>
      </c>
      <c r="K272" s="17"/>
      <c r="L272" s="18"/>
      <c r="M272" s="19"/>
      <c r="N272" s="20"/>
      <c r="O272" s="20"/>
      <c r="P272" s="21"/>
      <c r="Q272" s="15"/>
      <c r="R272" s="51" t="str">
        <f t="shared" si="9"/>
        <v>DENTRO DO PRAZO</v>
      </c>
      <c r="S272" s="82"/>
      <c r="T272" s="49" t="s">
        <v>27</v>
      </c>
      <c r="U272" s="83">
        <v>2.0138888888888901E-2</v>
      </c>
    </row>
    <row r="273" spans="1:21" x14ac:dyDescent="0.2">
      <c r="A273" s="72">
        <v>46204</v>
      </c>
      <c r="B273" s="73">
        <v>92326</v>
      </c>
      <c r="C273" s="74" t="s">
        <v>37</v>
      </c>
      <c r="D273" s="75" t="s">
        <v>25</v>
      </c>
      <c r="E273" s="76">
        <v>46230.581250000003</v>
      </c>
      <c r="F273" s="77">
        <v>46230.664583333302</v>
      </c>
      <c r="G273" s="77">
        <v>46230.622916666704</v>
      </c>
      <c r="H273" s="78" t="s">
        <v>26</v>
      </c>
      <c r="I273" s="16">
        <f t="shared" si="8"/>
        <v>1</v>
      </c>
      <c r="J273" s="16">
        <v>1</v>
      </c>
      <c r="K273" s="17"/>
      <c r="L273" s="18"/>
      <c r="M273" s="19"/>
      <c r="N273" s="20"/>
      <c r="O273" s="20"/>
      <c r="P273" s="21"/>
      <c r="Q273" s="15"/>
      <c r="R273" s="51" t="str">
        <f t="shared" si="9"/>
        <v>DENTRO DO PRAZO</v>
      </c>
      <c r="S273" s="82"/>
      <c r="T273" s="49" t="s">
        <v>27</v>
      </c>
      <c r="U273" s="83">
        <v>4.1666666666666699E-2</v>
      </c>
    </row>
    <row r="274" spans="1:21" x14ac:dyDescent="0.2">
      <c r="A274" s="72">
        <v>46204</v>
      </c>
      <c r="B274" s="73">
        <v>92327</v>
      </c>
      <c r="C274" s="74" t="s">
        <v>37</v>
      </c>
      <c r="D274" s="75" t="s">
        <v>25</v>
      </c>
      <c r="E274" s="76">
        <v>46230.581944444399</v>
      </c>
      <c r="F274" s="77">
        <v>46230.6652777778</v>
      </c>
      <c r="G274" s="77">
        <v>46230.624305555597</v>
      </c>
      <c r="H274" s="78" t="s">
        <v>26</v>
      </c>
      <c r="I274" s="16">
        <f t="shared" si="8"/>
        <v>1</v>
      </c>
      <c r="J274" s="16">
        <v>1</v>
      </c>
      <c r="K274" s="17"/>
      <c r="L274" s="18"/>
      <c r="M274" s="19"/>
      <c r="N274" s="20"/>
      <c r="O274" s="20"/>
      <c r="P274" s="21"/>
      <c r="Q274" s="15"/>
      <c r="R274" s="51" t="str">
        <f t="shared" si="9"/>
        <v>DENTRO DO PRAZO</v>
      </c>
      <c r="S274" s="82"/>
      <c r="T274" s="49" t="s">
        <v>27</v>
      </c>
      <c r="U274" s="83">
        <v>4.2361111111111099E-2</v>
      </c>
    </row>
    <row r="275" spans="1:21" x14ac:dyDescent="0.2">
      <c r="A275" s="72">
        <v>46204</v>
      </c>
      <c r="B275" s="73">
        <v>92342</v>
      </c>
      <c r="C275" s="74" t="s">
        <v>44</v>
      </c>
      <c r="D275" s="75" t="s">
        <v>25</v>
      </c>
      <c r="E275" s="76">
        <v>46230.617361111101</v>
      </c>
      <c r="F275" s="77">
        <v>46230.7006944444</v>
      </c>
      <c r="G275" s="77">
        <v>46230.625694444498</v>
      </c>
      <c r="H275" s="78" t="s">
        <v>26</v>
      </c>
      <c r="I275" s="16">
        <f t="shared" si="8"/>
        <v>1</v>
      </c>
      <c r="J275" s="16">
        <v>1</v>
      </c>
      <c r="K275" s="17"/>
      <c r="L275" s="18"/>
      <c r="M275" s="19"/>
      <c r="N275" s="20"/>
      <c r="O275" s="20"/>
      <c r="P275" s="21"/>
      <c r="Q275" s="15"/>
      <c r="R275" s="51" t="str">
        <f t="shared" si="9"/>
        <v>DENTRO DO PRAZO</v>
      </c>
      <c r="S275" s="82"/>
      <c r="T275" s="49" t="s">
        <v>29</v>
      </c>
      <c r="U275" s="83">
        <v>8.3333333333333297E-3</v>
      </c>
    </row>
    <row r="276" spans="1:21" x14ac:dyDescent="0.2">
      <c r="A276" s="72">
        <v>46204</v>
      </c>
      <c r="B276" s="73">
        <v>92345</v>
      </c>
      <c r="C276" s="74" t="s">
        <v>37</v>
      </c>
      <c r="D276" s="75" t="s">
        <v>25</v>
      </c>
      <c r="E276" s="76">
        <v>46230.630555555603</v>
      </c>
      <c r="F276" s="77">
        <v>46230.713888888902</v>
      </c>
      <c r="G276" s="77">
        <v>46230.631944444503</v>
      </c>
      <c r="H276" s="78" t="s">
        <v>26</v>
      </c>
      <c r="I276" s="16">
        <f t="shared" si="8"/>
        <v>1</v>
      </c>
      <c r="J276" s="16">
        <v>1</v>
      </c>
      <c r="K276" s="17"/>
      <c r="L276" s="18"/>
      <c r="M276" s="19"/>
      <c r="N276" s="20"/>
      <c r="O276" s="20"/>
      <c r="P276" s="21"/>
      <c r="Q276" s="15"/>
      <c r="R276" s="51" t="str">
        <f t="shared" si="9"/>
        <v>DENTRO DO PRAZO</v>
      </c>
      <c r="S276" s="82"/>
      <c r="T276" s="49" t="s">
        <v>27</v>
      </c>
      <c r="U276" s="83">
        <v>1.38888888888889E-3</v>
      </c>
    </row>
    <row r="277" spans="1:21" x14ac:dyDescent="0.2">
      <c r="A277" s="72">
        <v>46204</v>
      </c>
      <c r="B277" s="73">
        <v>92358</v>
      </c>
      <c r="C277" s="74" t="s">
        <v>41</v>
      </c>
      <c r="D277" s="75" t="s">
        <v>25</v>
      </c>
      <c r="E277" s="76">
        <v>46230.658333333296</v>
      </c>
      <c r="F277" s="77">
        <v>46230.741666666698</v>
      </c>
      <c r="G277" s="77">
        <v>46230.690277777801</v>
      </c>
      <c r="H277" s="78" t="s">
        <v>26</v>
      </c>
      <c r="I277" s="16">
        <f t="shared" si="8"/>
        <v>1</v>
      </c>
      <c r="J277" s="16">
        <v>1</v>
      </c>
      <c r="K277" s="17"/>
      <c r="L277" s="18"/>
      <c r="M277" s="19"/>
      <c r="N277" s="20"/>
      <c r="O277" s="20"/>
      <c r="P277" s="21"/>
      <c r="Q277" s="15"/>
      <c r="R277" s="51" t="str">
        <f t="shared" si="9"/>
        <v>DENTRO DO PRAZO</v>
      </c>
      <c r="S277" s="82"/>
      <c r="T277" s="49" t="s">
        <v>45</v>
      </c>
      <c r="U277" s="83">
        <v>3.19444444444444E-2</v>
      </c>
    </row>
    <row r="278" spans="1:21" x14ac:dyDescent="0.2">
      <c r="A278" s="72">
        <v>46204</v>
      </c>
      <c r="B278" s="73">
        <v>92360</v>
      </c>
      <c r="C278" s="74" t="s">
        <v>41</v>
      </c>
      <c r="D278" s="75" t="s">
        <v>25</v>
      </c>
      <c r="E278" s="76">
        <v>46230.663888888899</v>
      </c>
      <c r="F278" s="77">
        <v>46230.747222222199</v>
      </c>
      <c r="G278" s="77">
        <v>46230.7</v>
      </c>
      <c r="H278" s="78" t="s">
        <v>26</v>
      </c>
      <c r="I278" s="16">
        <f t="shared" si="8"/>
        <v>1</v>
      </c>
      <c r="J278" s="16">
        <v>1</v>
      </c>
      <c r="K278" s="17"/>
      <c r="L278" s="18"/>
      <c r="M278" s="19"/>
      <c r="N278" s="20"/>
      <c r="O278" s="20"/>
      <c r="P278" s="21"/>
      <c r="Q278" s="15"/>
      <c r="R278" s="51" t="str">
        <f t="shared" si="9"/>
        <v>DENTRO DO PRAZO</v>
      </c>
      <c r="S278" s="82"/>
      <c r="T278" s="49" t="s">
        <v>45</v>
      </c>
      <c r="U278" s="83">
        <v>3.6111111111111101E-2</v>
      </c>
    </row>
    <row r="279" spans="1:21" x14ac:dyDescent="0.2">
      <c r="A279" s="72">
        <v>46204</v>
      </c>
      <c r="B279" s="73">
        <v>92392</v>
      </c>
      <c r="C279" s="74" t="s">
        <v>37</v>
      </c>
      <c r="D279" s="75" t="s">
        <v>25</v>
      </c>
      <c r="E279" s="76">
        <v>46230.899305555598</v>
      </c>
      <c r="F279" s="77">
        <v>46231.458333333299</v>
      </c>
      <c r="G279" s="77">
        <v>46230.901388888902</v>
      </c>
      <c r="H279" s="78" t="s">
        <v>26</v>
      </c>
      <c r="I279" s="16">
        <f t="shared" si="8"/>
        <v>1</v>
      </c>
      <c r="J279" s="16">
        <v>1</v>
      </c>
      <c r="K279" s="17"/>
      <c r="L279" s="18"/>
      <c r="M279" s="19"/>
      <c r="N279" s="20"/>
      <c r="O279" s="20"/>
      <c r="P279" s="21"/>
      <c r="Q279" s="15"/>
      <c r="R279" s="51" t="str">
        <f t="shared" si="9"/>
        <v>DENTRO DO PRAZO</v>
      </c>
      <c r="S279" s="82"/>
      <c r="T279" s="49" t="s">
        <v>27</v>
      </c>
      <c r="U279" s="83">
        <v>2.0833333333333298E-3</v>
      </c>
    </row>
    <row r="280" spans="1:21" x14ac:dyDescent="0.2">
      <c r="A280" s="72">
        <v>46204</v>
      </c>
      <c r="B280" s="73">
        <v>92393</v>
      </c>
      <c r="C280" s="74" t="s">
        <v>37</v>
      </c>
      <c r="D280" s="75" t="s">
        <v>25</v>
      </c>
      <c r="E280" s="76">
        <v>46230.900694444397</v>
      </c>
      <c r="F280" s="77">
        <v>46231.458333333299</v>
      </c>
      <c r="G280" s="77">
        <v>46231.387499999997</v>
      </c>
      <c r="H280" s="78" t="s">
        <v>26</v>
      </c>
      <c r="I280" s="16">
        <f t="shared" si="8"/>
        <v>1</v>
      </c>
      <c r="J280" s="16">
        <v>1</v>
      </c>
      <c r="K280" s="17"/>
      <c r="L280" s="18"/>
      <c r="M280" s="19"/>
      <c r="N280" s="20"/>
      <c r="O280" s="20"/>
      <c r="P280" s="21"/>
      <c r="Q280" s="15"/>
      <c r="R280" s="51" t="str">
        <f t="shared" si="9"/>
        <v>DENTRO DO PRAZO</v>
      </c>
      <c r="S280" s="82"/>
      <c r="T280" s="49" t="s">
        <v>27</v>
      </c>
      <c r="U280" s="83">
        <v>0.48680555555555599</v>
      </c>
    </row>
    <row r="281" spans="1:21" x14ac:dyDescent="0.2">
      <c r="A281" s="72">
        <v>46204</v>
      </c>
      <c r="B281" s="73">
        <v>92397</v>
      </c>
      <c r="C281" s="74" t="s">
        <v>42</v>
      </c>
      <c r="D281" s="75" t="s">
        <v>25</v>
      </c>
      <c r="E281" s="76">
        <v>46231.370138888902</v>
      </c>
      <c r="F281" s="77">
        <v>46231.453472222202</v>
      </c>
      <c r="G281" s="77">
        <v>46231.390277777798</v>
      </c>
      <c r="H281" s="78" t="s">
        <v>26</v>
      </c>
      <c r="I281" s="16">
        <f t="shared" si="8"/>
        <v>1</v>
      </c>
      <c r="J281" s="16">
        <v>1</v>
      </c>
      <c r="K281" s="17"/>
      <c r="L281" s="18"/>
      <c r="M281" s="19"/>
      <c r="N281" s="20"/>
      <c r="O281" s="20"/>
      <c r="P281" s="21"/>
      <c r="Q281" s="15"/>
      <c r="R281" s="51" t="str">
        <f t="shared" si="9"/>
        <v>DENTRO DO PRAZO</v>
      </c>
      <c r="S281" s="82"/>
      <c r="T281" s="49" t="s">
        <v>29</v>
      </c>
      <c r="U281" s="83">
        <v>2.0138888888888901E-2</v>
      </c>
    </row>
    <row r="282" spans="1:21" x14ac:dyDescent="0.2">
      <c r="A282" s="72">
        <v>46204</v>
      </c>
      <c r="B282" s="73">
        <v>92404</v>
      </c>
      <c r="C282" s="74" t="s">
        <v>42</v>
      </c>
      <c r="D282" s="75" t="s">
        <v>25</v>
      </c>
      <c r="E282" s="76">
        <v>46231.398611111101</v>
      </c>
      <c r="F282" s="77">
        <v>46231.4819444444</v>
      </c>
      <c r="G282" s="77">
        <v>46231.414583333302</v>
      </c>
      <c r="H282" s="78" t="s">
        <v>26</v>
      </c>
      <c r="I282" s="16">
        <f t="shared" si="8"/>
        <v>1</v>
      </c>
      <c r="J282" s="16">
        <v>1</v>
      </c>
      <c r="K282" s="17"/>
      <c r="L282" s="18"/>
      <c r="M282" s="19"/>
      <c r="N282" s="20"/>
      <c r="O282" s="20"/>
      <c r="P282" s="21"/>
      <c r="Q282" s="15"/>
      <c r="R282" s="51" t="str">
        <f t="shared" si="9"/>
        <v>DENTRO DO PRAZO</v>
      </c>
      <c r="S282" s="82"/>
      <c r="T282" s="49" t="s">
        <v>29</v>
      </c>
      <c r="U282" s="83">
        <v>1.59722222222222E-2</v>
      </c>
    </row>
    <row r="283" spans="1:21" x14ac:dyDescent="0.2">
      <c r="A283" s="72">
        <v>46204</v>
      </c>
      <c r="B283" s="73">
        <v>92444</v>
      </c>
      <c r="C283" s="74" t="s">
        <v>37</v>
      </c>
      <c r="D283" s="75" t="s">
        <v>25</v>
      </c>
      <c r="E283" s="76">
        <v>46231.502083333296</v>
      </c>
      <c r="F283" s="77">
        <v>46231.585416666698</v>
      </c>
      <c r="G283" s="77">
        <v>46231.506249999999</v>
      </c>
      <c r="H283" s="78" t="s">
        <v>26</v>
      </c>
      <c r="I283" s="16">
        <f t="shared" si="8"/>
        <v>1</v>
      </c>
      <c r="J283" s="16">
        <v>1</v>
      </c>
      <c r="K283" s="17"/>
      <c r="L283" s="18"/>
      <c r="M283" s="19"/>
      <c r="N283" s="20"/>
      <c r="O283" s="20"/>
      <c r="P283" s="21"/>
      <c r="Q283" s="15"/>
      <c r="R283" s="51" t="str">
        <f t="shared" si="9"/>
        <v>DENTRO DO PRAZO</v>
      </c>
      <c r="S283" s="82"/>
      <c r="T283" s="49" t="s">
        <v>27</v>
      </c>
      <c r="U283" s="83">
        <v>4.1666666666666701E-3</v>
      </c>
    </row>
    <row r="284" spans="1:21" x14ac:dyDescent="0.2">
      <c r="A284" s="72">
        <v>46204</v>
      </c>
      <c r="B284" s="73">
        <v>92455</v>
      </c>
      <c r="C284" s="74" t="s">
        <v>30</v>
      </c>
      <c r="D284" s="75" t="s">
        <v>25</v>
      </c>
      <c r="E284" s="76">
        <v>46231.563888888901</v>
      </c>
      <c r="F284" s="77">
        <v>46232.436805555597</v>
      </c>
      <c r="G284" s="77">
        <v>46232.401388888902</v>
      </c>
      <c r="H284" s="78" t="s">
        <v>26</v>
      </c>
      <c r="I284" s="16">
        <f t="shared" si="8"/>
        <v>1</v>
      </c>
      <c r="J284" s="16">
        <v>1</v>
      </c>
      <c r="K284" s="17"/>
      <c r="L284" s="18"/>
      <c r="M284" s="19"/>
      <c r="N284" s="20"/>
      <c r="O284" s="20"/>
      <c r="P284" s="21"/>
      <c r="Q284" s="15"/>
      <c r="R284" s="51" t="str">
        <f t="shared" si="9"/>
        <v>DENTRO DO PRAZO</v>
      </c>
      <c r="S284" s="82"/>
      <c r="T284" s="49" t="s">
        <v>29</v>
      </c>
      <c r="U284" s="83">
        <v>0.83750000000000002</v>
      </c>
    </row>
    <row r="285" spans="1:21" x14ac:dyDescent="0.2">
      <c r="A285" s="72">
        <v>46204</v>
      </c>
      <c r="B285" s="73">
        <v>92471</v>
      </c>
      <c r="C285" s="74" t="s">
        <v>44</v>
      </c>
      <c r="D285" s="75" t="s">
        <v>25</v>
      </c>
      <c r="E285" s="76">
        <v>46231.588194444397</v>
      </c>
      <c r="F285" s="77">
        <v>46231.672222222202</v>
      </c>
      <c r="G285" s="77">
        <v>46231.617361111101</v>
      </c>
      <c r="H285" s="78" t="s">
        <v>26</v>
      </c>
      <c r="I285" s="16">
        <f t="shared" si="8"/>
        <v>1</v>
      </c>
      <c r="J285" s="16">
        <v>1</v>
      </c>
      <c r="K285" s="17"/>
      <c r="L285" s="18"/>
      <c r="M285" s="19"/>
      <c r="N285" s="20"/>
      <c r="O285" s="20"/>
      <c r="P285" s="21"/>
      <c r="Q285" s="15"/>
      <c r="R285" s="51" t="str">
        <f t="shared" si="9"/>
        <v>DENTRO DO PRAZO</v>
      </c>
      <c r="S285" s="82"/>
      <c r="T285" s="49" t="s">
        <v>29</v>
      </c>
      <c r="U285" s="83">
        <v>2.9166666666666698E-2</v>
      </c>
    </row>
    <row r="286" spans="1:21" x14ac:dyDescent="0.2">
      <c r="A286" s="72">
        <v>46204</v>
      </c>
      <c r="B286" s="73">
        <v>92481</v>
      </c>
      <c r="C286" s="74" t="s">
        <v>44</v>
      </c>
      <c r="D286" s="75" t="s">
        <v>25</v>
      </c>
      <c r="E286" s="76">
        <v>46231.618055555598</v>
      </c>
      <c r="F286" s="77">
        <v>46231.701388888898</v>
      </c>
      <c r="G286" s="77">
        <v>46231.6430555556</v>
      </c>
      <c r="H286" s="78" t="s">
        <v>26</v>
      </c>
      <c r="I286" s="16">
        <f t="shared" si="8"/>
        <v>1</v>
      </c>
      <c r="J286" s="16">
        <v>1</v>
      </c>
      <c r="K286" s="17"/>
      <c r="L286" s="18"/>
      <c r="M286" s="19"/>
      <c r="N286" s="20"/>
      <c r="O286" s="20"/>
      <c r="P286" s="21"/>
      <c r="Q286" s="15"/>
      <c r="R286" s="51" t="str">
        <f t="shared" si="9"/>
        <v>DENTRO DO PRAZO</v>
      </c>
      <c r="S286" s="82"/>
      <c r="T286" s="49" t="s">
        <v>29</v>
      </c>
      <c r="U286" s="83">
        <v>2.5000000000000001E-2</v>
      </c>
    </row>
    <row r="287" spans="1:21" x14ac:dyDescent="0.2">
      <c r="A287" s="72">
        <v>46204</v>
      </c>
      <c r="B287" s="73">
        <v>92570</v>
      </c>
      <c r="C287" s="74" t="s">
        <v>46</v>
      </c>
      <c r="D287" s="75" t="s">
        <v>25</v>
      </c>
      <c r="E287" s="76">
        <v>46232.493750000001</v>
      </c>
      <c r="F287" s="77">
        <v>46232.706944444399</v>
      </c>
      <c r="G287" s="77">
        <v>46232.6472222222</v>
      </c>
      <c r="H287" s="78" t="s">
        <v>26</v>
      </c>
      <c r="I287" s="16">
        <f t="shared" si="8"/>
        <v>1</v>
      </c>
      <c r="J287" s="16">
        <v>1</v>
      </c>
      <c r="K287" s="17"/>
      <c r="L287" s="18"/>
      <c r="M287" s="19"/>
      <c r="N287" s="20"/>
      <c r="O287" s="20"/>
      <c r="P287" s="21"/>
      <c r="Q287" s="15"/>
      <c r="R287" s="51" t="str">
        <f t="shared" si="9"/>
        <v>DENTRO DO PRAZO</v>
      </c>
      <c r="S287" s="82"/>
      <c r="T287" s="49" t="s">
        <v>29</v>
      </c>
      <c r="U287" s="83">
        <v>0.15347222222222201</v>
      </c>
    </row>
    <row r="288" spans="1:21" x14ac:dyDescent="0.2">
      <c r="A288" s="72">
        <v>46204</v>
      </c>
      <c r="B288" s="73">
        <v>92619</v>
      </c>
      <c r="C288" s="74" t="s">
        <v>37</v>
      </c>
      <c r="D288" s="75" t="s">
        <v>25</v>
      </c>
      <c r="E288" s="76">
        <v>46232.795833333301</v>
      </c>
      <c r="F288" s="77">
        <v>46233.458333333299</v>
      </c>
      <c r="G288" s="77">
        <v>46232.800694444399</v>
      </c>
      <c r="H288" s="78" t="s">
        <v>26</v>
      </c>
      <c r="I288" s="16">
        <f t="shared" si="8"/>
        <v>1</v>
      </c>
      <c r="J288" s="16">
        <v>1</v>
      </c>
      <c r="K288" s="17"/>
      <c r="L288" s="18"/>
      <c r="M288" s="19"/>
      <c r="N288" s="20"/>
      <c r="O288" s="20"/>
      <c r="P288" s="21"/>
      <c r="Q288" s="15"/>
      <c r="R288" s="51" t="str">
        <f t="shared" si="9"/>
        <v>DENTRO DO PRAZO</v>
      </c>
      <c r="S288" s="82"/>
      <c r="T288" s="49" t="s">
        <v>27</v>
      </c>
      <c r="U288" s="83">
        <v>4.8611111111111103E-3</v>
      </c>
    </row>
    <row r="289" spans="1:21" x14ac:dyDescent="0.2">
      <c r="A289" s="72">
        <v>46204</v>
      </c>
      <c r="B289" s="73">
        <v>92665</v>
      </c>
      <c r="C289" s="74" t="s">
        <v>35</v>
      </c>
      <c r="D289" s="75" t="s">
        <v>25</v>
      </c>
      <c r="E289" s="76">
        <v>46233.463888888902</v>
      </c>
      <c r="F289" s="77">
        <v>46233.547222222202</v>
      </c>
      <c r="G289" s="77">
        <v>46233.511805555601</v>
      </c>
      <c r="H289" s="78" t="s">
        <v>26</v>
      </c>
      <c r="I289" s="16">
        <f t="shared" si="8"/>
        <v>1</v>
      </c>
      <c r="J289" s="16">
        <v>1</v>
      </c>
      <c r="K289" s="17"/>
      <c r="L289" s="18"/>
      <c r="M289" s="19"/>
      <c r="N289" s="20"/>
      <c r="O289" s="20"/>
      <c r="P289" s="21"/>
      <c r="Q289" s="15"/>
      <c r="R289" s="51" t="str">
        <f t="shared" si="9"/>
        <v>DENTRO DO PRAZO</v>
      </c>
      <c r="S289" s="82"/>
      <c r="T289" s="49" t="s">
        <v>29</v>
      </c>
      <c r="U289" s="83">
        <v>4.7916666666666698E-2</v>
      </c>
    </row>
    <row r="290" spans="1:21" x14ac:dyDescent="0.2">
      <c r="A290" s="72">
        <v>46204</v>
      </c>
      <c r="B290" s="73">
        <v>92675</v>
      </c>
      <c r="C290" s="74" t="s">
        <v>37</v>
      </c>
      <c r="D290" s="75" t="s">
        <v>25</v>
      </c>
      <c r="E290" s="76">
        <v>46233.504861111098</v>
      </c>
      <c r="F290" s="77">
        <v>46233.588194444397</v>
      </c>
      <c r="G290" s="77">
        <v>46233.515277777798</v>
      </c>
      <c r="H290" s="78" t="s">
        <v>26</v>
      </c>
      <c r="I290" s="16">
        <f t="shared" si="8"/>
        <v>1</v>
      </c>
      <c r="J290" s="16">
        <v>1</v>
      </c>
      <c r="K290" s="17"/>
      <c r="L290" s="18"/>
      <c r="M290" s="19"/>
      <c r="N290" s="20"/>
      <c r="O290" s="20"/>
      <c r="P290" s="21"/>
      <c r="Q290" s="15"/>
      <c r="R290" s="51" t="str">
        <f t="shared" si="9"/>
        <v>DENTRO DO PRAZO</v>
      </c>
      <c r="S290" s="82"/>
      <c r="T290" s="49" t="s">
        <v>27</v>
      </c>
      <c r="U290" s="83">
        <v>1.0416666666666701E-2</v>
      </c>
    </row>
    <row r="291" spans="1:21" x14ac:dyDescent="0.2">
      <c r="A291" s="72">
        <v>46204</v>
      </c>
      <c r="B291" s="73">
        <v>92678</v>
      </c>
      <c r="C291" s="74" t="s">
        <v>37</v>
      </c>
      <c r="D291" s="75" t="s">
        <v>25</v>
      </c>
      <c r="E291" s="76">
        <v>46233.554166666698</v>
      </c>
      <c r="F291" s="77">
        <v>46233.637499999997</v>
      </c>
      <c r="G291" s="77">
        <v>46233.556944444397</v>
      </c>
      <c r="H291" s="78" t="s">
        <v>26</v>
      </c>
      <c r="I291" s="16">
        <f t="shared" si="8"/>
        <v>1</v>
      </c>
      <c r="J291" s="16">
        <v>1</v>
      </c>
      <c r="K291" s="17"/>
      <c r="L291" s="18"/>
      <c r="M291" s="19"/>
      <c r="N291" s="20"/>
      <c r="O291" s="20"/>
      <c r="P291" s="21"/>
      <c r="Q291" s="15"/>
      <c r="R291" s="51" t="str">
        <f t="shared" si="9"/>
        <v>DENTRO DO PRAZO</v>
      </c>
      <c r="S291" s="82"/>
      <c r="T291" s="49" t="s">
        <v>27</v>
      </c>
      <c r="U291" s="83">
        <v>2.7777777777777801E-3</v>
      </c>
    </row>
    <row r="292" spans="1:21" x14ac:dyDescent="0.2">
      <c r="A292" s="72">
        <v>46204</v>
      </c>
      <c r="B292" s="73">
        <v>92680</v>
      </c>
      <c r="C292" s="74" t="s">
        <v>37</v>
      </c>
      <c r="D292" s="75" t="s">
        <v>25</v>
      </c>
      <c r="E292" s="76">
        <v>46233.561111111099</v>
      </c>
      <c r="F292" s="77">
        <v>46233.644444444399</v>
      </c>
      <c r="G292" s="77">
        <v>46233.586111111101</v>
      </c>
      <c r="H292" s="78" t="s">
        <v>26</v>
      </c>
      <c r="I292" s="16">
        <f t="shared" si="8"/>
        <v>1</v>
      </c>
      <c r="J292" s="16">
        <v>1</v>
      </c>
      <c r="K292" s="17"/>
      <c r="L292" s="18"/>
      <c r="M292" s="19"/>
      <c r="N292" s="20"/>
      <c r="O292" s="20"/>
      <c r="P292" s="21"/>
      <c r="Q292" s="15"/>
      <c r="R292" s="51" t="str">
        <f t="shared" si="9"/>
        <v>DENTRO DO PRAZO</v>
      </c>
      <c r="S292" s="82"/>
      <c r="T292" s="49" t="s">
        <v>27</v>
      </c>
      <c r="U292" s="83">
        <v>2.5000000000000001E-2</v>
      </c>
    </row>
    <row r="293" spans="1:21" x14ac:dyDescent="0.2">
      <c r="A293" s="72">
        <v>46204</v>
      </c>
      <c r="B293" s="73">
        <v>92691</v>
      </c>
      <c r="C293" s="74" t="s">
        <v>37</v>
      </c>
      <c r="D293" s="75" t="s">
        <v>25</v>
      </c>
      <c r="E293" s="76">
        <v>46233.590277777803</v>
      </c>
      <c r="F293" s="77">
        <v>46233.673611111102</v>
      </c>
      <c r="G293" s="77">
        <v>46233.625694444498</v>
      </c>
      <c r="H293" s="78" t="s">
        <v>26</v>
      </c>
      <c r="I293" s="16">
        <f t="shared" si="8"/>
        <v>1</v>
      </c>
      <c r="J293" s="16">
        <v>1</v>
      </c>
      <c r="K293" s="17"/>
      <c r="L293" s="18"/>
      <c r="M293" s="19"/>
      <c r="N293" s="20"/>
      <c r="O293" s="20"/>
      <c r="P293" s="21"/>
      <c r="Q293" s="15"/>
      <c r="R293" s="51" t="str">
        <f t="shared" si="9"/>
        <v>DENTRO DO PRAZO</v>
      </c>
      <c r="S293" s="82"/>
      <c r="T293" s="49" t="s">
        <v>27</v>
      </c>
      <c r="U293" s="83">
        <v>3.54166666666667E-2</v>
      </c>
    </row>
    <row r="294" spans="1:21" x14ac:dyDescent="0.2">
      <c r="A294" s="72">
        <v>46204</v>
      </c>
      <c r="B294" s="73">
        <v>92696</v>
      </c>
      <c r="C294" s="74" t="s">
        <v>44</v>
      </c>
      <c r="D294" s="75" t="s">
        <v>25</v>
      </c>
      <c r="E294" s="76">
        <v>46233.617361111101</v>
      </c>
      <c r="F294" s="77">
        <v>46233.7006944444</v>
      </c>
      <c r="G294" s="77">
        <v>46233.652777777803</v>
      </c>
      <c r="H294" s="78" t="s">
        <v>26</v>
      </c>
      <c r="I294" s="16">
        <f t="shared" si="8"/>
        <v>1</v>
      </c>
      <c r="J294" s="16">
        <v>1</v>
      </c>
      <c r="K294" s="17"/>
      <c r="L294" s="18"/>
      <c r="M294" s="19"/>
      <c r="N294" s="20"/>
      <c r="O294" s="20"/>
      <c r="P294" s="21"/>
      <c r="Q294" s="15"/>
      <c r="R294" s="51" t="str">
        <f t="shared" si="9"/>
        <v>DENTRO DO PRAZO</v>
      </c>
      <c r="S294" s="82"/>
      <c r="T294" s="49" t="s">
        <v>29</v>
      </c>
      <c r="U294" s="83">
        <v>3.54166666666667E-2</v>
      </c>
    </row>
    <row r="295" spans="1:21" x14ac:dyDescent="0.2">
      <c r="A295" s="72">
        <v>46204</v>
      </c>
      <c r="B295" s="73">
        <v>92705</v>
      </c>
      <c r="C295" s="74" t="s">
        <v>37</v>
      </c>
      <c r="D295" s="75" t="s">
        <v>25</v>
      </c>
      <c r="E295" s="76">
        <v>46233.630555555603</v>
      </c>
      <c r="F295" s="77">
        <v>46233.713888888902</v>
      </c>
      <c r="G295" s="77">
        <v>46233.641666666699</v>
      </c>
      <c r="H295" s="78" t="s">
        <v>26</v>
      </c>
      <c r="I295" s="16">
        <f t="shared" si="8"/>
        <v>1</v>
      </c>
      <c r="J295" s="16">
        <v>1</v>
      </c>
      <c r="K295" s="17"/>
      <c r="L295" s="18"/>
      <c r="M295" s="19"/>
      <c r="N295" s="20"/>
      <c r="O295" s="20"/>
      <c r="P295" s="21"/>
      <c r="Q295" s="15"/>
      <c r="R295" s="51" t="str">
        <f t="shared" si="9"/>
        <v>DENTRO DO PRAZO</v>
      </c>
      <c r="S295" s="82"/>
      <c r="T295" s="49" t="s">
        <v>27</v>
      </c>
      <c r="U295" s="83">
        <v>1.1111111111111099E-2</v>
      </c>
    </row>
    <row r="296" spans="1:21" x14ac:dyDescent="0.2">
      <c r="A296" s="72">
        <v>46204</v>
      </c>
      <c r="B296" s="73">
        <v>92708</v>
      </c>
      <c r="C296" s="74" t="s">
        <v>37</v>
      </c>
      <c r="D296" s="75" t="s">
        <v>25</v>
      </c>
      <c r="E296" s="76">
        <v>46233.646527777797</v>
      </c>
      <c r="F296" s="77">
        <v>46233.729861111096</v>
      </c>
      <c r="G296" s="77">
        <v>46233.652083333298</v>
      </c>
      <c r="H296" s="78" t="s">
        <v>26</v>
      </c>
      <c r="I296" s="16">
        <f t="shared" si="8"/>
        <v>1</v>
      </c>
      <c r="J296" s="16">
        <v>1</v>
      </c>
      <c r="K296" s="17"/>
      <c r="L296" s="18"/>
      <c r="M296" s="19"/>
      <c r="N296" s="20"/>
      <c r="O296" s="20"/>
      <c r="P296" s="21"/>
      <c r="Q296" s="15"/>
      <c r="R296" s="51" t="str">
        <f t="shared" si="9"/>
        <v>DENTRO DO PRAZO</v>
      </c>
      <c r="S296" s="82"/>
      <c r="T296" s="49" t="s">
        <v>27</v>
      </c>
      <c r="U296" s="83">
        <v>5.5555555555555601E-3</v>
      </c>
    </row>
    <row r="297" spans="1:21" x14ac:dyDescent="0.2">
      <c r="A297" s="72">
        <v>46204</v>
      </c>
      <c r="B297" s="73">
        <v>92715</v>
      </c>
      <c r="C297" s="74" t="s">
        <v>37</v>
      </c>
      <c r="D297" s="75" t="s">
        <v>25</v>
      </c>
      <c r="E297" s="76">
        <v>46233.656944444498</v>
      </c>
      <c r="F297" s="77">
        <v>46233.740277777797</v>
      </c>
      <c r="G297" s="77">
        <v>46233.661805555603</v>
      </c>
      <c r="H297" s="78" t="s">
        <v>26</v>
      </c>
      <c r="I297" s="16">
        <f t="shared" si="8"/>
        <v>1</v>
      </c>
      <c r="J297" s="16">
        <v>1</v>
      </c>
      <c r="K297" s="17"/>
      <c r="L297" s="18"/>
      <c r="M297" s="19"/>
      <c r="N297" s="20"/>
      <c r="O297" s="20"/>
      <c r="P297" s="21"/>
      <c r="Q297" s="15"/>
      <c r="R297" s="51" t="str">
        <f t="shared" si="9"/>
        <v>DENTRO DO PRAZO</v>
      </c>
      <c r="S297" s="82"/>
      <c r="T297" s="49" t="s">
        <v>27</v>
      </c>
      <c r="U297" s="83">
        <v>4.8611111111111103E-3</v>
      </c>
    </row>
    <row r="298" spans="1:21" x14ac:dyDescent="0.2">
      <c r="A298" s="72">
        <v>46204</v>
      </c>
      <c r="B298" s="73">
        <v>92723</v>
      </c>
      <c r="C298" s="74" t="s">
        <v>37</v>
      </c>
      <c r="D298" s="75" t="s">
        <v>25</v>
      </c>
      <c r="E298" s="76">
        <v>46233.667361111096</v>
      </c>
      <c r="F298" s="77">
        <v>46233.750694444498</v>
      </c>
      <c r="G298" s="77">
        <v>46233.6694444444</v>
      </c>
      <c r="H298" s="78" t="s">
        <v>26</v>
      </c>
      <c r="I298" s="16">
        <f t="shared" si="8"/>
        <v>1</v>
      </c>
      <c r="J298" s="16">
        <v>1</v>
      </c>
      <c r="K298" s="17"/>
      <c r="L298" s="18"/>
      <c r="M298" s="19"/>
      <c r="N298" s="20"/>
      <c r="O298" s="20"/>
      <c r="P298" s="21"/>
      <c r="Q298" s="15"/>
      <c r="R298" s="51" t="str">
        <f t="shared" si="9"/>
        <v>DENTRO DO PRAZO</v>
      </c>
      <c r="S298" s="82"/>
      <c r="T298" s="49" t="s">
        <v>27</v>
      </c>
      <c r="U298" s="83">
        <v>2.0833333333333298E-3</v>
      </c>
    </row>
    <row r="299" spans="1:21" x14ac:dyDescent="0.2">
      <c r="A299" s="72">
        <v>46204</v>
      </c>
      <c r="B299" s="73">
        <v>92728</v>
      </c>
      <c r="C299" s="74" t="s">
        <v>37</v>
      </c>
      <c r="D299" s="75" t="s">
        <v>25</v>
      </c>
      <c r="E299" s="76">
        <v>46233.6743055556</v>
      </c>
      <c r="F299" s="77">
        <v>46233.757638888899</v>
      </c>
      <c r="G299" s="77">
        <v>46233.682638888902</v>
      </c>
      <c r="H299" s="78" t="s">
        <v>26</v>
      </c>
      <c r="I299" s="16">
        <f t="shared" si="8"/>
        <v>1</v>
      </c>
      <c r="J299" s="16">
        <v>1</v>
      </c>
      <c r="K299" s="17"/>
      <c r="L299" s="18"/>
      <c r="M299" s="19"/>
      <c r="N299" s="20"/>
      <c r="O299" s="20"/>
      <c r="P299" s="21"/>
      <c r="Q299" s="15"/>
      <c r="R299" s="51" t="str">
        <f t="shared" si="9"/>
        <v>DENTRO DO PRAZO</v>
      </c>
      <c r="S299" s="82"/>
      <c r="T299" s="49" t="s">
        <v>27</v>
      </c>
      <c r="U299" s="83">
        <v>8.3333333333333297E-3</v>
      </c>
    </row>
    <row r="300" spans="1:21" x14ac:dyDescent="0.2">
      <c r="A300" s="72">
        <v>46204</v>
      </c>
      <c r="B300" s="73">
        <v>92736</v>
      </c>
      <c r="C300" s="74" t="s">
        <v>37</v>
      </c>
      <c r="D300" s="75" t="s">
        <v>25</v>
      </c>
      <c r="E300" s="76">
        <v>46233.6875</v>
      </c>
      <c r="F300" s="77">
        <v>46233.770833333299</v>
      </c>
      <c r="G300" s="77">
        <v>46233.691666666702</v>
      </c>
      <c r="H300" s="78" t="s">
        <v>26</v>
      </c>
      <c r="I300" s="16">
        <f t="shared" si="8"/>
        <v>1</v>
      </c>
      <c r="J300" s="16">
        <v>1</v>
      </c>
      <c r="K300" s="17"/>
      <c r="L300" s="18"/>
      <c r="M300" s="19"/>
      <c r="N300" s="20"/>
      <c r="O300" s="20"/>
      <c r="P300" s="21"/>
      <c r="Q300" s="15"/>
      <c r="R300" s="51" t="str">
        <f t="shared" si="9"/>
        <v>DENTRO DO PRAZO</v>
      </c>
      <c r="S300" s="82"/>
      <c r="T300" s="49" t="s">
        <v>27</v>
      </c>
      <c r="U300" s="83">
        <v>4.1666666666666701E-3</v>
      </c>
    </row>
    <row r="301" spans="1:21" x14ac:dyDescent="0.2">
      <c r="A301" s="72">
        <v>46204</v>
      </c>
      <c r="B301" s="73">
        <v>92739</v>
      </c>
      <c r="C301" s="74" t="s">
        <v>37</v>
      </c>
      <c r="D301" s="75" t="s">
        <v>25</v>
      </c>
      <c r="E301" s="76">
        <v>46233.695833333302</v>
      </c>
      <c r="F301" s="77">
        <v>46234.383333333302</v>
      </c>
      <c r="G301" s="77">
        <v>46233.7</v>
      </c>
      <c r="H301" s="78" t="s">
        <v>26</v>
      </c>
      <c r="I301" s="16">
        <f t="shared" si="8"/>
        <v>1</v>
      </c>
      <c r="J301" s="16">
        <v>1</v>
      </c>
      <c r="K301" s="17"/>
      <c r="L301" s="18"/>
      <c r="M301" s="19"/>
      <c r="N301" s="20"/>
      <c r="O301" s="20"/>
      <c r="P301" s="21"/>
      <c r="Q301" s="15"/>
      <c r="R301" s="51" t="str">
        <f t="shared" si="9"/>
        <v>DENTRO DO PRAZO</v>
      </c>
      <c r="S301" s="82"/>
      <c r="T301" s="49" t="s">
        <v>27</v>
      </c>
      <c r="U301" s="83">
        <v>4.1666666666666701E-3</v>
      </c>
    </row>
    <row r="302" spans="1:21" x14ac:dyDescent="0.2">
      <c r="A302" s="72">
        <v>46204</v>
      </c>
      <c r="B302" s="73">
        <v>92743</v>
      </c>
      <c r="C302" s="74" t="s">
        <v>37</v>
      </c>
      <c r="D302" s="75" t="s">
        <v>25</v>
      </c>
      <c r="E302" s="76">
        <v>46233.706250000003</v>
      </c>
      <c r="F302" s="77">
        <v>46234.393750000003</v>
      </c>
      <c r="G302" s="77">
        <v>46233.712500000001</v>
      </c>
      <c r="H302" s="78" t="s">
        <v>26</v>
      </c>
      <c r="I302" s="16">
        <f t="shared" si="8"/>
        <v>1</v>
      </c>
      <c r="J302" s="16">
        <v>1</v>
      </c>
      <c r="K302" s="17"/>
      <c r="L302" s="18"/>
      <c r="M302" s="19"/>
      <c r="N302" s="20"/>
      <c r="O302" s="20"/>
      <c r="P302" s="21"/>
      <c r="Q302" s="15"/>
      <c r="R302" s="51" t="str">
        <f t="shared" si="9"/>
        <v>DENTRO DO PRAZO</v>
      </c>
      <c r="S302" s="82"/>
      <c r="T302" s="49" t="s">
        <v>27</v>
      </c>
      <c r="U302" s="83">
        <v>6.2500000000000003E-3</v>
      </c>
    </row>
    <row r="303" spans="1:21" x14ac:dyDescent="0.2">
      <c r="A303" s="72">
        <v>46204</v>
      </c>
      <c r="B303" s="73">
        <v>92753</v>
      </c>
      <c r="C303" s="74" t="s">
        <v>37</v>
      </c>
      <c r="D303" s="75" t="s">
        <v>25</v>
      </c>
      <c r="E303" s="76">
        <v>46233.762499999997</v>
      </c>
      <c r="F303" s="77">
        <v>46234.45</v>
      </c>
      <c r="G303" s="77">
        <v>46233.804861111101</v>
      </c>
      <c r="H303" s="78" t="s">
        <v>26</v>
      </c>
      <c r="I303" s="16">
        <f t="shared" si="8"/>
        <v>1</v>
      </c>
      <c r="J303" s="16">
        <v>1</v>
      </c>
      <c r="K303" s="17"/>
      <c r="L303" s="18"/>
      <c r="M303" s="19"/>
      <c r="N303" s="20"/>
      <c r="O303" s="20"/>
      <c r="P303" s="21"/>
      <c r="Q303" s="15"/>
      <c r="R303" s="51" t="str">
        <f t="shared" si="9"/>
        <v>DENTRO DO PRAZO</v>
      </c>
      <c r="S303" s="82"/>
      <c r="T303" s="49" t="s">
        <v>27</v>
      </c>
      <c r="U303" s="83">
        <v>4.2361111111111099E-2</v>
      </c>
    </row>
    <row r="304" spans="1:21" x14ac:dyDescent="0.2">
      <c r="A304" s="72">
        <v>46204</v>
      </c>
      <c r="B304" s="73">
        <v>92754</v>
      </c>
      <c r="C304" s="74" t="s">
        <v>37</v>
      </c>
      <c r="D304" s="75" t="s">
        <v>25</v>
      </c>
      <c r="E304" s="76">
        <v>46233.783333333296</v>
      </c>
      <c r="F304" s="77">
        <v>46234.458333333299</v>
      </c>
      <c r="G304" s="77">
        <v>46233.829166666699</v>
      </c>
      <c r="H304" s="78" t="s">
        <v>26</v>
      </c>
      <c r="I304" s="16">
        <f t="shared" si="8"/>
        <v>1</v>
      </c>
      <c r="J304" s="16">
        <v>1</v>
      </c>
      <c r="K304" s="17"/>
      <c r="L304" s="18"/>
      <c r="M304" s="19"/>
      <c r="N304" s="20"/>
      <c r="O304" s="20"/>
      <c r="P304" s="21"/>
      <c r="Q304" s="15"/>
      <c r="R304" s="51" t="str">
        <f t="shared" si="9"/>
        <v>DENTRO DO PRAZO</v>
      </c>
      <c r="S304" s="82"/>
      <c r="T304" s="49" t="s">
        <v>27</v>
      </c>
      <c r="U304" s="83">
        <v>4.5833333333333302E-2</v>
      </c>
    </row>
    <row r="305" spans="1:21" x14ac:dyDescent="0.2">
      <c r="A305" s="72">
        <v>46204</v>
      </c>
      <c r="B305" s="73">
        <v>92755</v>
      </c>
      <c r="C305" s="74" t="s">
        <v>37</v>
      </c>
      <c r="D305" s="75" t="s">
        <v>25</v>
      </c>
      <c r="E305" s="76">
        <v>46233.809027777803</v>
      </c>
      <c r="F305" s="77">
        <v>46234.458333333299</v>
      </c>
      <c r="G305" s="77">
        <v>46233.815277777801</v>
      </c>
      <c r="H305" s="78" t="s">
        <v>26</v>
      </c>
      <c r="I305" s="16">
        <f t="shared" si="8"/>
        <v>1</v>
      </c>
      <c r="J305" s="16">
        <v>1</v>
      </c>
      <c r="K305" s="17"/>
      <c r="L305" s="18"/>
      <c r="M305" s="19"/>
      <c r="N305" s="20"/>
      <c r="O305" s="20"/>
      <c r="P305" s="21"/>
      <c r="Q305" s="15"/>
      <c r="R305" s="51" t="str">
        <f t="shared" si="9"/>
        <v>DENTRO DO PRAZO</v>
      </c>
      <c r="S305" s="82"/>
      <c r="T305" s="49" t="s">
        <v>27</v>
      </c>
      <c r="U305" s="83">
        <v>6.2500000000000003E-3</v>
      </c>
    </row>
    <row r="306" spans="1:21" x14ac:dyDescent="0.2">
      <c r="A306" s="72">
        <v>46204</v>
      </c>
      <c r="B306" s="73">
        <v>92758</v>
      </c>
      <c r="C306" s="74" t="s">
        <v>37</v>
      </c>
      <c r="D306" s="75" t="s">
        <v>25</v>
      </c>
      <c r="E306" s="76">
        <v>46233.8527777778</v>
      </c>
      <c r="F306" s="77">
        <v>46234.458333333299</v>
      </c>
      <c r="G306" s="77">
        <v>46233.862500000003</v>
      </c>
      <c r="H306" s="78" t="s">
        <v>26</v>
      </c>
      <c r="I306" s="16">
        <f t="shared" si="8"/>
        <v>1</v>
      </c>
      <c r="J306" s="16">
        <v>1</v>
      </c>
      <c r="K306" s="17"/>
      <c r="L306" s="18"/>
      <c r="M306" s="19"/>
      <c r="N306" s="20"/>
      <c r="O306" s="20"/>
      <c r="P306" s="21"/>
      <c r="Q306" s="15"/>
      <c r="R306" s="51" t="str">
        <f t="shared" si="9"/>
        <v>DENTRO DO PRAZO</v>
      </c>
      <c r="S306" s="82"/>
      <c r="T306" s="49" t="s">
        <v>27</v>
      </c>
      <c r="U306" s="83">
        <v>9.7222222222222206E-3</v>
      </c>
    </row>
    <row r="307" spans="1:21" x14ac:dyDescent="0.2">
      <c r="A307" s="72">
        <v>46204</v>
      </c>
      <c r="B307" s="73">
        <v>92759</v>
      </c>
      <c r="C307" s="74" t="s">
        <v>37</v>
      </c>
      <c r="D307" s="75" t="s">
        <v>25</v>
      </c>
      <c r="E307" s="76">
        <v>46233.873611111099</v>
      </c>
      <c r="F307" s="77">
        <v>46234.458333333299</v>
      </c>
      <c r="G307" s="77">
        <v>46233.890277777798</v>
      </c>
      <c r="H307" s="78" t="s">
        <v>26</v>
      </c>
      <c r="I307" s="16">
        <f t="shared" si="8"/>
        <v>1</v>
      </c>
      <c r="J307" s="16">
        <v>1</v>
      </c>
      <c r="K307" s="17"/>
      <c r="L307" s="18"/>
      <c r="M307" s="19"/>
      <c r="N307" s="20"/>
      <c r="O307" s="20"/>
      <c r="P307" s="21"/>
      <c r="Q307" s="15"/>
      <c r="R307" s="51" t="str">
        <f t="shared" si="9"/>
        <v>DENTRO DO PRAZO</v>
      </c>
      <c r="S307" s="82"/>
      <c r="T307" s="49" t="s">
        <v>27</v>
      </c>
      <c r="U307" s="83">
        <v>1.6666666666666701E-2</v>
      </c>
    </row>
    <row r="308" spans="1:21" x14ac:dyDescent="0.2">
      <c r="A308" s="72">
        <v>46204</v>
      </c>
      <c r="B308" s="73">
        <v>92760</v>
      </c>
      <c r="C308" s="74" t="s">
        <v>37</v>
      </c>
      <c r="D308" s="75" t="s">
        <v>25</v>
      </c>
      <c r="E308" s="76">
        <v>46233.894444444399</v>
      </c>
      <c r="F308" s="77">
        <v>46234.458333333299</v>
      </c>
      <c r="G308" s="77">
        <v>46233.897916666698</v>
      </c>
      <c r="H308" s="78" t="s">
        <v>26</v>
      </c>
      <c r="I308" s="16">
        <f t="shared" si="8"/>
        <v>1</v>
      </c>
      <c r="J308" s="16">
        <v>1</v>
      </c>
      <c r="K308" s="17"/>
      <c r="L308" s="18"/>
      <c r="M308" s="19"/>
      <c r="N308" s="20"/>
      <c r="O308" s="20"/>
      <c r="P308" s="21"/>
      <c r="Q308" s="15"/>
      <c r="R308" s="51" t="str">
        <f t="shared" si="9"/>
        <v>DENTRO DO PRAZO</v>
      </c>
      <c r="S308" s="82"/>
      <c r="T308" s="49" t="s">
        <v>27</v>
      </c>
      <c r="U308" s="83">
        <v>3.4722222222222199E-3</v>
      </c>
    </row>
    <row r="309" spans="1:21" x14ac:dyDescent="0.2">
      <c r="A309" s="72">
        <v>46204</v>
      </c>
      <c r="B309" s="73">
        <v>92761</v>
      </c>
      <c r="C309" s="74" t="s">
        <v>37</v>
      </c>
      <c r="D309" s="75" t="s">
        <v>25</v>
      </c>
      <c r="E309" s="76">
        <v>46233.905555555597</v>
      </c>
      <c r="F309" s="77">
        <v>46234.458333333299</v>
      </c>
      <c r="G309" s="77">
        <v>46233.927083333299</v>
      </c>
      <c r="H309" s="78" t="s">
        <v>26</v>
      </c>
      <c r="I309" s="16">
        <f t="shared" si="8"/>
        <v>1</v>
      </c>
      <c r="J309" s="16">
        <v>1</v>
      </c>
      <c r="K309" s="17"/>
      <c r="L309" s="18"/>
      <c r="M309" s="19"/>
      <c r="N309" s="20"/>
      <c r="O309" s="20"/>
      <c r="P309" s="21"/>
      <c r="Q309" s="15"/>
      <c r="R309" s="51" t="str">
        <f t="shared" si="9"/>
        <v>DENTRO DO PRAZO</v>
      </c>
      <c r="S309" s="82"/>
      <c r="T309" s="49" t="s">
        <v>27</v>
      </c>
      <c r="U309" s="83">
        <v>2.1527777777777798E-2</v>
      </c>
    </row>
    <row r="310" spans="1:21" x14ac:dyDescent="0.2">
      <c r="A310" s="72">
        <v>46204</v>
      </c>
      <c r="B310" s="73">
        <v>92762</v>
      </c>
      <c r="C310" s="74" t="s">
        <v>37</v>
      </c>
      <c r="D310" s="75" t="s">
        <v>25</v>
      </c>
      <c r="E310" s="76">
        <v>46233.935416666704</v>
      </c>
      <c r="F310" s="77">
        <v>46234.458333333299</v>
      </c>
      <c r="G310" s="77">
        <v>46233.973611111098</v>
      </c>
      <c r="H310" s="78" t="s">
        <v>26</v>
      </c>
      <c r="I310" s="16">
        <f t="shared" si="8"/>
        <v>1</v>
      </c>
      <c r="J310" s="16">
        <v>1</v>
      </c>
      <c r="K310" s="17"/>
      <c r="L310" s="18"/>
      <c r="M310" s="19"/>
      <c r="N310" s="20"/>
      <c r="O310" s="20"/>
      <c r="P310" s="21"/>
      <c r="Q310" s="15"/>
      <c r="R310" s="51" t="str">
        <f t="shared" si="9"/>
        <v>DENTRO DO PRAZO</v>
      </c>
      <c r="S310" s="82"/>
      <c r="T310" s="49" t="s">
        <v>27</v>
      </c>
      <c r="U310" s="83">
        <v>3.8194444444444503E-2</v>
      </c>
    </row>
    <row r="311" spans="1:21" x14ac:dyDescent="0.2">
      <c r="A311" s="72">
        <v>46204</v>
      </c>
      <c r="B311" s="73">
        <v>92763</v>
      </c>
      <c r="C311" s="74" t="s">
        <v>37</v>
      </c>
      <c r="D311" s="75" t="s">
        <v>25</v>
      </c>
      <c r="E311" s="76">
        <v>46233.982638888898</v>
      </c>
      <c r="F311" s="77">
        <v>46234.458333333299</v>
      </c>
      <c r="G311" s="77">
        <v>46233.987500000003</v>
      </c>
      <c r="H311" s="78" t="s">
        <v>26</v>
      </c>
      <c r="I311" s="16">
        <f t="shared" si="8"/>
        <v>1</v>
      </c>
      <c r="J311" s="16">
        <v>1</v>
      </c>
      <c r="K311" s="17"/>
      <c r="L311" s="18"/>
      <c r="M311" s="19"/>
      <c r="N311" s="20"/>
      <c r="O311" s="20"/>
      <c r="P311" s="21"/>
      <c r="Q311" s="15"/>
      <c r="R311" s="51" t="str">
        <f t="shared" si="9"/>
        <v>DENTRO DO PRAZO</v>
      </c>
      <c r="S311" s="82"/>
      <c r="T311" s="49" t="s">
        <v>27</v>
      </c>
      <c r="U311" s="83">
        <v>4.8611111111111103E-3</v>
      </c>
    </row>
    <row r="312" spans="1:21" x14ac:dyDescent="0.2">
      <c r="A312" s="72">
        <v>46204</v>
      </c>
      <c r="B312" s="73">
        <v>92772</v>
      </c>
      <c r="C312" s="74" t="s">
        <v>41</v>
      </c>
      <c r="D312" s="75" t="s">
        <v>25</v>
      </c>
      <c r="E312" s="76">
        <v>46234.389583333301</v>
      </c>
      <c r="F312" s="77">
        <v>46234.472916666702</v>
      </c>
      <c r="G312" s="77">
        <v>46234.413888888899</v>
      </c>
      <c r="H312" s="78" t="s">
        <v>26</v>
      </c>
      <c r="I312" s="16">
        <f t="shared" si="8"/>
        <v>1</v>
      </c>
      <c r="J312" s="16">
        <v>1</v>
      </c>
      <c r="K312" s="17"/>
      <c r="L312" s="18"/>
      <c r="M312" s="19"/>
      <c r="N312" s="20"/>
      <c r="O312" s="20"/>
      <c r="P312" s="21"/>
      <c r="Q312" s="15"/>
      <c r="R312" s="51" t="str">
        <f t="shared" si="9"/>
        <v>DENTRO DO PRAZO</v>
      </c>
      <c r="S312" s="82"/>
      <c r="T312" s="49" t="s">
        <v>29</v>
      </c>
      <c r="U312" s="83">
        <v>2.4305555555555601E-2</v>
      </c>
    </row>
    <row r="313" spans="1:21" x14ac:dyDescent="0.2">
      <c r="A313" s="72">
        <v>46204</v>
      </c>
      <c r="B313" s="73">
        <v>92775</v>
      </c>
      <c r="C313" s="74" t="s">
        <v>42</v>
      </c>
      <c r="D313" s="75" t="s">
        <v>25</v>
      </c>
      <c r="E313" s="76">
        <v>46234.409027777801</v>
      </c>
      <c r="F313" s="77">
        <v>46234.661805555603</v>
      </c>
      <c r="G313" s="77">
        <v>46234.622916666704</v>
      </c>
      <c r="H313" s="78" t="s">
        <v>26</v>
      </c>
      <c r="I313" s="16">
        <f t="shared" si="8"/>
        <v>1</v>
      </c>
      <c r="J313" s="16">
        <v>1</v>
      </c>
      <c r="K313" s="17"/>
      <c r="L313" s="18"/>
      <c r="M313" s="19"/>
      <c r="N313" s="20"/>
      <c r="O313" s="20"/>
      <c r="P313" s="21"/>
      <c r="Q313" s="15"/>
      <c r="R313" s="51" t="str">
        <f t="shared" si="9"/>
        <v>DENTRO DO PRAZO</v>
      </c>
      <c r="S313" s="82"/>
      <c r="T313" s="49" t="s">
        <v>29</v>
      </c>
      <c r="U313" s="83">
        <v>0.21388888888888899</v>
      </c>
    </row>
    <row r="314" spans="1:21" x14ac:dyDescent="0.2">
      <c r="A314" s="72">
        <v>46204</v>
      </c>
      <c r="B314" s="73">
        <v>92778</v>
      </c>
      <c r="C314" s="74" t="s">
        <v>32</v>
      </c>
      <c r="D314" s="75" t="s">
        <v>25</v>
      </c>
      <c r="E314" s="76">
        <v>46234.418749999997</v>
      </c>
      <c r="F314" s="77">
        <v>46234.502083333296</v>
      </c>
      <c r="G314" s="77">
        <v>46234.461805555598</v>
      </c>
      <c r="H314" s="78" t="s">
        <v>26</v>
      </c>
      <c r="I314" s="16">
        <f t="shared" si="8"/>
        <v>1</v>
      </c>
      <c r="J314" s="16">
        <v>1</v>
      </c>
      <c r="K314" s="17"/>
      <c r="L314" s="18"/>
      <c r="M314" s="19"/>
      <c r="N314" s="20"/>
      <c r="O314" s="20"/>
      <c r="P314" s="21"/>
      <c r="Q314" s="15"/>
      <c r="R314" s="51" t="str">
        <f t="shared" si="9"/>
        <v>DENTRO DO PRAZO</v>
      </c>
      <c r="S314" s="82"/>
      <c r="T314" s="49" t="s">
        <v>29</v>
      </c>
      <c r="U314" s="83">
        <v>4.3055555555555597E-2</v>
      </c>
    </row>
    <row r="315" spans="1:21" x14ac:dyDescent="0.2">
      <c r="A315" s="72">
        <v>46204</v>
      </c>
      <c r="B315" s="73">
        <v>92802</v>
      </c>
      <c r="C315" s="74" t="s">
        <v>37</v>
      </c>
      <c r="D315" s="75" t="s">
        <v>25</v>
      </c>
      <c r="E315" s="76">
        <v>46234.478472222203</v>
      </c>
      <c r="F315" s="77">
        <v>46234.561805555597</v>
      </c>
      <c r="G315" s="77">
        <v>46234.479861111096</v>
      </c>
      <c r="H315" s="78" t="s">
        <v>26</v>
      </c>
      <c r="I315" s="16">
        <f t="shared" si="8"/>
        <v>1</v>
      </c>
      <c r="J315" s="16">
        <v>1</v>
      </c>
      <c r="K315" s="17"/>
      <c r="L315" s="18"/>
      <c r="M315" s="19"/>
      <c r="N315" s="20"/>
      <c r="O315" s="20"/>
      <c r="P315" s="21"/>
      <c r="Q315" s="15"/>
      <c r="R315" s="51" t="str">
        <f t="shared" si="9"/>
        <v>DENTRO DO PRAZO</v>
      </c>
      <c r="S315" s="82"/>
      <c r="T315" s="49" t="s">
        <v>27</v>
      </c>
      <c r="U315" s="83">
        <v>1.38888888888889E-3</v>
      </c>
    </row>
    <row r="316" spans="1:21" x14ac:dyDescent="0.2">
      <c r="A316" s="72">
        <v>46204</v>
      </c>
      <c r="B316" s="73">
        <v>92853</v>
      </c>
      <c r="C316" s="74" t="s">
        <v>32</v>
      </c>
      <c r="D316" s="75" t="s">
        <v>25</v>
      </c>
      <c r="E316" s="76">
        <v>46234.652777777803</v>
      </c>
      <c r="F316" s="77">
        <v>46234.736111111102</v>
      </c>
      <c r="G316" s="77">
        <v>46234.675000000003</v>
      </c>
      <c r="H316" s="78" t="s">
        <v>26</v>
      </c>
      <c r="I316" s="16">
        <f t="shared" si="8"/>
        <v>1</v>
      </c>
      <c r="J316" s="16">
        <v>1</v>
      </c>
      <c r="K316" s="17"/>
      <c r="L316" s="18"/>
      <c r="M316" s="19"/>
      <c r="N316" s="20"/>
      <c r="O316" s="20"/>
      <c r="P316" s="21"/>
      <c r="Q316" s="15"/>
      <c r="R316" s="51" t="str">
        <f t="shared" si="9"/>
        <v>DENTRO DO PRAZO</v>
      </c>
      <c r="S316" s="82"/>
      <c r="T316" s="49" t="s">
        <v>29</v>
      </c>
      <c r="U316" s="83">
        <v>2.2222222222222199E-2</v>
      </c>
    </row>
  </sheetData>
  <conditionalFormatting sqref="A5:S316">
    <cfRule type="expression" dxfId="14" priority="5">
      <formula>$H5="N"</formula>
    </cfRule>
  </conditionalFormatting>
  <conditionalFormatting sqref="P5:P124">
    <cfRule type="expression" dxfId="13" priority="2">
      <formula>$P5="ATENDIDO"</formula>
    </cfRule>
    <cfRule type="expression" dxfId="12" priority="3">
      <formula>$P5="NÃO ATENDIDO"</formula>
    </cfRule>
    <cfRule type="expression" dxfId="11" priority="4">
      <formula>$P5="REVISAR DADOS"</formula>
    </cfRule>
  </conditionalFormatting>
  <dataValidations count="3">
    <dataValidation type="decimal" operator="greaterThanOrEqual" allowBlank="1" showErrorMessage="1" errorTitle="Valor inválido" error="Informe um número maior ou igual a zero." sqref="E5:H124" xr:uid="{00000000-0002-0000-0000-000000000000}">
      <formula1>0</formula1>
      <formula2>0</formula2>
    </dataValidation>
    <dataValidation type="date" allowBlank="1" sqref="A5:B5 B6:B124 A25:A124" xr:uid="{00000000-0002-0000-0000-000001000000}">
      <formula1>DATE(2000,1,1)</formula1>
      <formula2>DATE(2100,12,31)</formula2>
    </dataValidation>
    <dataValidation type="date" sqref="A6:A24" xr:uid="{00000000-0002-0000-0000-000002000000}">
      <formula1>DATE(2000,1,1)</formula1>
      <formula2>DATE(2100,12,31)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zoomScale="95" zoomScaleNormal="95" workbookViewId="0">
      <pane ySplit="3" topLeftCell="A4" activePane="bottomLeft" state="frozen"/>
      <selection pane="bottomLeft" activeCell="B7" sqref="B7"/>
    </sheetView>
  </sheetViews>
  <sheetFormatPr defaultColWidth="8.7109375" defaultRowHeight="14.25" x14ac:dyDescent="0.2"/>
  <cols>
    <col min="1" max="1" width="34" style="1" customWidth="1"/>
    <col min="2" max="2" width="28" style="1" customWidth="1"/>
    <col min="3" max="3" width="22" style="1" customWidth="1"/>
    <col min="4" max="4" width="76" style="1" customWidth="1"/>
    <col min="5" max="16384" width="8.7109375" style="1"/>
  </cols>
  <sheetData>
    <row r="1" spans="1:10" ht="19.5" customHeight="1" x14ac:dyDescent="0.2">
      <c r="A1" s="3" t="s">
        <v>0</v>
      </c>
      <c r="B1" s="3"/>
      <c r="C1" s="4"/>
      <c r="D1" s="5"/>
      <c r="E1" s="4"/>
      <c r="F1" s="4"/>
      <c r="G1" s="4"/>
      <c r="H1" s="4"/>
      <c r="I1" s="4"/>
      <c r="J1" s="6"/>
    </row>
    <row r="3" spans="1:10" ht="24" customHeight="1" x14ac:dyDescent="0.2">
      <c r="A3" s="22" t="s">
        <v>47</v>
      </c>
      <c r="B3" s="22" t="s">
        <v>48</v>
      </c>
      <c r="C3" s="22" t="s">
        <v>49</v>
      </c>
      <c r="D3" s="22" t="s">
        <v>50</v>
      </c>
    </row>
    <row r="4" spans="1:10" ht="15" customHeight="1" x14ac:dyDescent="0.2">
      <c r="A4" s="23" t="s">
        <v>51</v>
      </c>
      <c r="B4" s="24">
        <v>0.98</v>
      </c>
      <c r="C4" s="25" t="s">
        <v>52</v>
      </c>
      <c r="D4" s="45" t="s">
        <v>53</v>
      </c>
    </row>
    <row r="5" spans="1:10" ht="15" customHeight="1" x14ac:dyDescent="0.2">
      <c r="A5" s="25" t="s">
        <v>54</v>
      </c>
      <c r="B5" s="26">
        <v>1E-3</v>
      </c>
      <c r="C5" s="25" t="s">
        <v>55</v>
      </c>
      <c r="D5" s="45" t="s">
        <v>56</v>
      </c>
    </row>
    <row r="6" spans="1:10" ht="15" customHeight="1" x14ac:dyDescent="0.2">
      <c r="A6" s="25" t="s">
        <v>17</v>
      </c>
      <c r="B6" s="27">
        <v>165</v>
      </c>
      <c r="C6" s="25" t="s">
        <v>57</v>
      </c>
      <c r="D6" s="45" t="s">
        <v>58</v>
      </c>
    </row>
    <row r="7" spans="1:10" ht="26.25" customHeight="1" x14ac:dyDescent="0.2">
      <c r="A7" s="25" t="s">
        <v>59</v>
      </c>
      <c r="B7" s="28">
        <v>20</v>
      </c>
      <c r="C7" s="29" t="s">
        <v>57</v>
      </c>
      <c r="D7" s="45" t="s">
        <v>60</v>
      </c>
    </row>
    <row r="8" spans="1:10" ht="14.25" customHeight="1" x14ac:dyDescent="0.2">
      <c r="A8" s="30" t="s">
        <v>61</v>
      </c>
      <c r="B8" s="31" t="s">
        <v>120</v>
      </c>
      <c r="D8" s="46" t="s">
        <v>62</v>
      </c>
    </row>
    <row r="9" spans="1:10" ht="14.25" customHeight="1" x14ac:dyDescent="0.2">
      <c r="A9" s="32"/>
    </row>
    <row r="10" spans="1:10" ht="15" customHeight="1" x14ac:dyDescent="0.2">
      <c r="A10" s="33"/>
    </row>
    <row r="11" spans="1:10" ht="15" customHeight="1" x14ac:dyDescent="0.2">
      <c r="A11" s="25" t="s">
        <v>63</v>
      </c>
    </row>
    <row r="12" spans="1:10" ht="14.25" customHeight="1" x14ac:dyDescent="0.2">
      <c r="A12" s="30" t="s">
        <v>64</v>
      </c>
    </row>
    <row r="13" spans="1:10" ht="15" customHeight="1" x14ac:dyDescent="0.2">
      <c r="A13" s="33"/>
    </row>
    <row r="14" spans="1:10" ht="15" customHeight="1" x14ac:dyDescent="0.2">
      <c r="A14" s="34" t="s">
        <v>65</v>
      </c>
      <c r="B14" s="34"/>
    </row>
    <row r="15" spans="1:10" ht="15" customHeight="1" x14ac:dyDescent="0.2">
      <c r="A15" s="34" t="s">
        <v>11</v>
      </c>
      <c r="B15" s="34" t="s">
        <v>66</v>
      </c>
    </row>
    <row r="16" spans="1:10" ht="15" customHeight="1" x14ac:dyDescent="0.2">
      <c r="A16" s="34" t="s">
        <v>12</v>
      </c>
      <c r="B16" s="34" t="s">
        <v>67</v>
      </c>
    </row>
    <row r="17" spans="1:2" ht="15" customHeight="1" x14ac:dyDescent="0.2">
      <c r="A17" s="34"/>
      <c r="B17" s="34"/>
    </row>
  </sheetData>
  <dataValidations count="1">
    <dataValidation type="list" sqref="B7:B8" xr:uid="{00000000-0002-0000-0100-000000000000}">
      <formula1>"INICIADA,COMPLETA"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showGridLines="0" zoomScale="105" zoomScaleNormal="105" workbookViewId="0">
      <selection activeCell="B30" sqref="B30"/>
    </sheetView>
  </sheetViews>
  <sheetFormatPr defaultColWidth="18" defaultRowHeight="14.25" x14ac:dyDescent="0.2"/>
  <cols>
    <col min="1" max="1" width="28" style="1" customWidth="1"/>
    <col min="2" max="2" width="18" style="1"/>
    <col min="3" max="3" width="3.28515625" style="1" customWidth="1"/>
    <col min="4" max="4" width="22" style="1" customWidth="1"/>
    <col min="5" max="16384" width="18" style="1"/>
  </cols>
  <sheetData>
    <row r="1" spans="1:11" ht="24" customHeight="1" x14ac:dyDescent="0.2">
      <c r="A1" s="3" t="s">
        <v>81</v>
      </c>
      <c r="B1" s="3"/>
      <c r="C1" s="4"/>
      <c r="D1" s="5"/>
      <c r="E1" s="4"/>
      <c r="F1" s="4"/>
      <c r="G1" s="4"/>
      <c r="H1" s="4"/>
      <c r="I1" s="4"/>
      <c r="J1" s="4"/>
      <c r="K1" s="6"/>
    </row>
    <row r="3" spans="1:11" ht="24" customHeight="1" x14ac:dyDescent="0.2">
      <c r="A3" s="22" t="s">
        <v>82</v>
      </c>
      <c r="B3" s="22" t="s">
        <v>48</v>
      </c>
      <c r="D3" s="37" t="s">
        <v>83</v>
      </c>
      <c r="E3" s="37" t="s">
        <v>84</v>
      </c>
    </row>
    <row r="4" spans="1:11" ht="15" customHeight="1" x14ac:dyDescent="0.2">
      <c r="A4" s="25" t="s">
        <v>85</v>
      </c>
      <c r="B4" s="38">
        <f>SUM('Avaliação SLA'!J5:J316)</f>
        <v>312</v>
      </c>
      <c r="D4" s="34" t="s">
        <v>86</v>
      </c>
      <c r="E4" s="39">
        <f>SUM('Avaliação SLA'!I5:I316)</f>
        <v>308</v>
      </c>
    </row>
    <row r="5" spans="1:11" ht="15" customHeight="1" x14ac:dyDescent="0.2">
      <c r="A5" s="25" t="s">
        <v>87</v>
      </c>
      <c r="B5" s="38">
        <f>B4-E4</f>
        <v>4</v>
      </c>
      <c r="D5" s="34" t="s">
        <v>20</v>
      </c>
      <c r="E5" s="39" t="str">
        <f>'Avaliação SLA'!R3</f>
        <v>ATENDIDO</v>
      </c>
    </row>
    <row r="6" spans="1:11" ht="15" customHeight="1" x14ac:dyDescent="0.2">
      <c r="A6" s="25" t="s">
        <v>13</v>
      </c>
      <c r="B6" s="40">
        <f>'Avaliação SLA'!K3</f>
        <v>0.98717948717948723</v>
      </c>
      <c r="D6" s="34" t="s">
        <v>19</v>
      </c>
      <c r="E6" s="39">
        <f>'Avaliação SLA'!Q3</f>
        <v>0</v>
      </c>
    </row>
    <row r="7" spans="1:11" ht="15" customHeight="1" x14ac:dyDescent="0.2">
      <c r="A7" s="25" t="s">
        <v>14</v>
      </c>
      <c r="B7" s="40">
        <f>'Avaliação SLA'!L3</f>
        <v>0.98</v>
      </c>
    </row>
    <row r="8" spans="1:11" ht="15" customHeight="1" x14ac:dyDescent="0.2">
      <c r="A8" s="41"/>
      <c r="B8" s="42"/>
      <c r="C8" s="43"/>
      <c r="D8" s="43"/>
      <c r="E8" s="43"/>
      <c r="F8" s="43"/>
    </row>
    <row r="9" spans="1:11" ht="15" customHeight="1" x14ac:dyDescent="0.2">
      <c r="A9" s="41"/>
      <c r="B9" s="44"/>
      <c r="C9" s="43"/>
      <c r="D9" s="43"/>
      <c r="E9" s="43"/>
      <c r="F9" s="4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tabSelected="1" zoomScaleNormal="100" workbookViewId="0">
      <pane ySplit="3" topLeftCell="A4" activePane="bottomLeft" state="frozen"/>
      <selection pane="bottomLeft" activeCell="F6" sqref="F6"/>
    </sheetView>
  </sheetViews>
  <sheetFormatPr defaultColWidth="8.7109375" defaultRowHeight="14.25" x14ac:dyDescent="0.2"/>
  <cols>
    <col min="1" max="1" width="49" style="49" customWidth="1"/>
    <col min="2" max="2" width="14" style="49" customWidth="1"/>
    <col min="3" max="3" width="18" style="49" customWidth="1"/>
    <col min="4" max="4" width="16" style="49" customWidth="1"/>
    <col min="5" max="5" width="26.28515625" style="49" customWidth="1"/>
    <col min="6" max="6" width="14" style="49" customWidth="1"/>
    <col min="7" max="16384" width="8.7109375" style="49"/>
  </cols>
  <sheetData>
    <row r="1" spans="1:6" ht="27.75" customHeight="1" x14ac:dyDescent="0.25">
      <c r="A1" s="57" t="s">
        <v>115</v>
      </c>
      <c r="B1" s="57"/>
      <c r="C1" s="57"/>
      <c r="D1" s="57"/>
      <c r="E1" s="57"/>
      <c r="F1" s="57"/>
    </row>
    <row r="3" spans="1:6" ht="36" customHeight="1" x14ac:dyDescent="0.2">
      <c r="A3" s="58" t="s">
        <v>116</v>
      </c>
      <c r="B3" s="59" t="s">
        <v>91</v>
      </c>
      <c r="C3" s="59" t="s">
        <v>86</v>
      </c>
      <c r="D3" s="59" t="s">
        <v>87</v>
      </c>
      <c r="E3" s="59" t="s">
        <v>117</v>
      </c>
      <c r="F3" s="59" t="s">
        <v>93</v>
      </c>
    </row>
    <row r="4" spans="1:6" s="51" customFormat="1" ht="25.5" x14ac:dyDescent="0.2">
      <c r="A4" s="60" t="s">
        <v>100</v>
      </c>
      <c r="B4" s="61">
        <f>SUMIF('Detalhamento por Grupo'!$B$4:$B$11,"N1",'Detalhamento por Grupo'!$D$4:$D$11)</f>
        <v>0</v>
      </c>
      <c r="C4" s="61">
        <f>SUMIF('Detalhamento por Grupo'!$B$4:$B$11,"N1",'Detalhamento por Grupo'!$E$4:$E$11)</f>
        <v>0</v>
      </c>
      <c r="D4" s="61">
        <f>B4-C4</f>
        <v>0</v>
      </c>
      <c r="E4" s="62" t="str">
        <f>IF(B4=0,"Sem ocorrências",C4/B4)</f>
        <v>Sem ocorrências</v>
      </c>
      <c r="F4" s="63" t="str">
        <f>IF(B4=0,"—",SUMPRODUCT(('Detalhamento por Grupo'!$B$4:$B$11="N1")*'Detalhamento por Grupo'!$D$4:$D$11*IFERROR('Detalhamento por Grupo'!$H$4:$H$11,0))/B4)</f>
        <v>—</v>
      </c>
    </row>
    <row r="5" spans="1:6" s="51" customFormat="1" ht="12.75" x14ac:dyDescent="0.2">
      <c r="A5" s="60" t="s">
        <v>107</v>
      </c>
      <c r="B5" s="61">
        <f>SUMIF('Detalhamento por Grupo'!$B$4:$B$11,"N2",'Detalhamento por Grupo'!$D$4:$D$11)</f>
        <v>63</v>
      </c>
      <c r="C5" s="61">
        <f>SUMIF('Detalhamento por Grupo'!$B$4:$B$11,"N2",'Detalhamento por Grupo'!$E$4:$E$11)</f>
        <v>63</v>
      </c>
      <c r="D5" s="61">
        <f>B5-C5</f>
        <v>0</v>
      </c>
      <c r="E5" s="62">
        <f>IF(B5=0,"Sem ocorrências",C5/B5)</f>
        <v>1</v>
      </c>
      <c r="F5" s="63">
        <f>IF(B5=0,"—",SUMPRODUCT(('Detalhamento por Grupo'!$B$4:$B$11="N2")*'Detalhamento por Grupo'!$D$4:$D$11*IFERROR('Detalhamento por Grupo'!$H$4:$H$11,0))/B5)</f>
        <v>0.15989583333333329</v>
      </c>
    </row>
    <row r="6" spans="1:6" s="51" customFormat="1" ht="12.75" x14ac:dyDescent="0.2">
      <c r="A6" s="60" t="s">
        <v>110</v>
      </c>
      <c r="B6" s="61">
        <f>SUMIF('Detalhamento por Grupo'!$B$4:$B$11,"N3",'Detalhamento por Grupo'!$D$4:$D$11)</f>
        <v>240</v>
      </c>
      <c r="C6" s="61">
        <f>SUMIF('Detalhamento por Grupo'!$B$4:$B$11,"N3",'Detalhamento por Grupo'!$E$4:$E$11)</f>
        <v>239</v>
      </c>
      <c r="D6" s="61">
        <f>B6-C6</f>
        <v>1</v>
      </c>
      <c r="E6" s="62">
        <f>IF(B6=0,"Sem ocorrências",C6/B6)</f>
        <v>0.99583333333333335</v>
      </c>
      <c r="F6" s="63" t="e">
        <f>IF(B6=0,"—",SUMPRODUCT(('Detalhamento por Grupo'!$B$4:$B$11="N3")*'Detalhamento por Grupo'!$D$4:$D$11*IFERROR('Detalhamento por Grupo'!$H$4:$H$11,0))/B6)</f>
        <v>#VALUE!</v>
      </c>
    </row>
    <row r="7" spans="1:6" s="51" customFormat="1" ht="12.75" x14ac:dyDescent="0.2">
      <c r="A7" s="64" t="s">
        <v>118</v>
      </c>
      <c r="B7" s="65">
        <f>SUMIF('Detalhamento por Grupo'!$B$4:$B$11,"—",'Detalhamento por Grupo'!$D$4:$D$11)</f>
        <v>9</v>
      </c>
      <c r="C7" s="65">
        <f>SUMIF('Detalhamento por Grupo'!$B$4:$B$11,"—",'Detalhamento por Grupo'!$E$4:$E$11)</f>
        <v>6</v>
      </c>
      <c r="D7" s="65">
        <f>B7-C7</f>
        <v>3</v>
      </c>
      <c r="E7" s="66">
        <f>IF(B7=0,"Sem ocorrências",C7/B7)</f>
        <v>0.66666666666666663</v>
      </c>
      <c r="F7" s="67">
        <f>IF(B7=0,"—",SUMPRODUCT(('Detalhamento por Grupo'!$B$4:$B$11="—")*'Detalhamento por Grupo'!$D$4:$D$11*IFERROR('Detalhamento por Grupo'!$H$4:$H$11,0))/B7)</f>
        <v>4.5833333333333337E-2</v>
      </c>
    </row>
    <row r="8" spans="1:6" s="51" customFormat="1" ht="12.75" x14ac:dyDescent="0.2">
      <c r="A8" s="68" t="s">
        <v>119</v>
      </c>
      <c r="B8" s="69">
        <f>SUM(B4:B7)</f>
        <v>312</v>
      </c>
      <c r="C8" s="69">
        <f>SUM(C4:C7)</f>
        <v>308</v>
      </c>
      <c r="D8" s="69">
        <f>SUM(D4:D7)</f>
        <v>4</v>
      </c>
      <c r="E8" s="70">
        <f>IF(B8=0,"Sem ocorrências",C8/B8)</f>
        <v>0.98717948717948723</v>
      </c>
      <c r="F8" s="7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Instruções</vt:lpstr>
      <vt:lpstr>Detalhamento por Grupo</vt:lpstr>
      <vt:lpstr>Avaliação SLA</vt:lpstr>
      <vt:lpstr>Parâmetros</vt:lpstr>
      <vt:lpstr>Resumo</vt:lpstr>
      <vt:lpstr>Subtotais por Nível</vt:lpstr>
      <vt:lpstr>'Avaliação SLA'!Titulos_de_impressao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Antonio Carvalho Monteiro de Oliveira</dc:creator>
  <cp:keywords/>
  <dc:description/>
  <cp:lastModifiedBy>João Antonio Carvalho Monteiro de Oliveira</cp:lastModifiedBy>
  <cp:revision>0</cp:revision>
  <dcterms:created xsi:type="dcterms:W3CDTF">2026-08-24T19:19:13Z</dcterms:created>
  <dcterms:modified xsi:type="dcterms:W3CDTF">2026-08-24T19:27:38Z</dcterms:modified>
  <cp:category/>
  <cp:contentStatus/>
</cp:coreProperties>
</file>