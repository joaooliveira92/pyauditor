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auditor\docs\aferição\"/>
    </mc:Choice>
  </mc:AlternateContent>
  <xr:revisionPtr revIDLastSave="0" documentId="13_ncr:1_{E7CD7DD4-7217-414C-A974-43FD0E4C5A5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arâmetros" sheetId="2" r:id="rId1"/>
    <sheet name="Avaliação SLA" sheetId="1" r:id="rId2"/>
    <sheet name="Resumo" sheetId="4" r:id="rId3"/>
  </sheets>
  <definedNames>
    <definedName name="_xlnm.Print_Titles" localSheetId="1">'Avaliação SLA'!$1:$4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" i="4" l="1"/>
  <c r="K1" i="1"/>
  <c r="A6" i="1"/>
  <c r="E6" i="1" s="1"/>
  <c r="K1" i="2"/>
  <c r="L124" i="1"/>
  <c r="E124" i="1"/>
  <c r="H124" i="1" s="1"/>
  <c r="L123" i="1"/>
  <c r="E123" i="1"/>
  <c r="L122" i="1"/>
  <c r="E122" i="1"/>
  <c r="L121" i="1"/>
  <c r="E121" i="1"/>
  <c r="L120" i="1"/>
  <c r="E120" i="1"/>
  <c r="L119" i="1"/>
  <c r="E119" i="1"/>
  <c r="L118" i="1"/>
  <c r="E118" i="1"/>
  <c r="L117" i="1"/>
  <c r="E117" i="1"/>
  <c r="L116" i="1"/>
  <c r="E116" i="1"/>
  <c r="L115" i="1"/>
  <c r="E115" i="1"/>
  <c r="L114" i="1"/>
  <c r="E114" i="1"/>
  <c r="L113" i="1"/>
  <c r="E113" i="1"/>
  <c r="L112" i="1"/>
  <c r="E112" i="1"/>
  <c r="L111" i="1"/>
  <c r="E111" i="1"/>
  <c r="L110" i="1"/>
  <c r="E110" i="1"/>
  <c r="L109" i="1"/>
  <c r="E109" i="1"/>
  <c r="L108" i="1"/>
  <c r="E108" i="1"/>
  <c r="L107" i="1"/>
  <c r="E107" i="1"/>
  <c r="L106" i="1"/>
  <c r="E106" i="1"/>
  <c r="L105" i="1"/>
  <c r="E105" i="1"/>
  <c r="L104" i="1"/>
  <c r="E104" i="1"/>
  <c r="L103" i="1"/>
  <c r="E103" i="1"/>
  <c r="L102" i="1"/>
  <c r="E102" i="1"/>
  <c r="L101" i="1"/>
  <c r="E101" i="1"/>
  <c r="L100" i="1"/>
  <c r="E100" i="1"/>
  <c r="L99" i="1"/>
  <c r="E99" i="1"/>
  <c r="L98" i="1"/>
  <c r="E98" i="1"/>
  <c r="L97" i="1"/>
  <c r="E97" i="1"/>
  <c r="L96" i="1"/>
  <c r="E96" i="1"/>
  <c r="L95" i="1"/>
  <c r="E95" i="1"/>
  <c r="L94" i="1"/>
  <c r="E94" i="1"/>
  <c r="L93" i="1"/>
  <c r="E93" i="1"/>
  <c r="L92" i="1"/>
  <c r="E92" i="1"/>
  <c r="L91" i="1"/>
  <c r="E91" i="1"/>
  <c r="L90" i="1"/>
  <c r="E90" i="1"/>
  <c r="L89" i="1"/>
  <c r="E89" i="1"/>
  <c r="L88" i="1"/>
  <c r="E88" i="1"/>
  <c r="L87" i="1"/>
  <c r="E87" i="1"/>
  <c r="L86" i="1"/>
  <c r="E86" i="1"/>
  <c r="L85" i="1"/>
  <c r="E85" i="1"/>
  <c r="L84" i="1"/>
  <c r="E84" i="1"/>
  <c r="L83" i="1"/>
  <c r="E83" i="1"/>
  <c r="L82" i="1"/>
  <c r="E82" i="1"/>
  <c r="L81" i="1"/>
  <c r="E81" i="1"/>
  <c r="L80" i="1"/>
  <c r="E80" i="1"/>
  <c r="L79" i="1"/>
  <c r="E79" i="1"/>
  <c r="L78" i="1"/>
  <c r="E78" i="1"/>
  <c r="L77" i="1"/>
  <c r="E77" i="1"/>
  <c r="L76" i="1"/>
  <c r="E76" i="1"/>
  <c r="L75" i="1"/>
  <c r="E75" i="1"/>
  <c r="L74" i="1"/>
  <c r="E74" i="1"/>
  <c r="L73" i="1"/>
  <c r="E73" i="1"/>
  <c r="L72" i="1"/>
  <c r="E72" i="1"/>
  <c r="L71" i="1"/>
  <c r="E71" i="1"/>
  <c r="L70" i="1"/>
  <c r="E70" i="1"/>
  <c r="L69" i="1"/>
  <c r="E69" i="1"/>
  <c r="L68" i="1"/>
  <c r="E68" i="1"/>
  <c r="L67" i="1"/>
  <c r="E67" i="1"/>
  <c r="L66" i="1"/>
  <c r="E66" i="1"/>
  <c r="L65" i="1"/>
  <c r="E65" i="1"/>
  <c r="L64" i="1"/>
  <c r="E64" i="1"/>
  <c r="L63" i="1"/>
  <c r="E63" i="1"/>
  <c r="L62" i="1"/>
  <c r="E62" i="1"/>
  <c r="L61" i="1"/>
  <c r="E61" i="1"/>
  <c r="L60" i="1"/>
  <c r="E60" i="1"/>
  <c r="L59" i="1"/>
  <c r="E59" i="1"/>
  <c r="L58" i="1"/>
  <c r="E58" i="1"/>
  <c r="L57" i="1"/>
  <c r="E57" i="1"/>
  <c r="L56" i="1"/>
  <c r="E56" i="1"/>
  <c r="L55" i="1"/>
  <c r="E55" i="1"/>
  <c r="L54" i="1"/>
  <c r="E54" i="1"/>
  <c r="L53" i="1"/>
  <c r="E53" i="1"/>
  <c r="L52" i="1"/>
  <c r="E52" i="1"/>
  <c r="L51" i="1"/>
  <c r="E51" i="1"/>
  <c r="L50" i="1"/>
  <c r="E50" i="1"/>
  <c r="L49" i="1"/>
  <c r="E49" i="1"/>
  <c r="L48" i="1"/>
  <c r="E48" i="1"/>
  <c r="L47" i="1"/>
  <c r="E47" i="1"/>
  <c r="L46" i="1"/>
  <c r="E46" i="1"/>
  <c r="L45" i="1"/>
  <c r="E45" i="1"/>
  <c r="L44" i="1"/>
  <c r="E44" i="1"/>
  <c r="L43" i="1"/>
  <c r="E43" i="1"/>
  <c r="L42" i="1"/>
  <c r="E42" i="1"/>
  <c r="L41" i="1"/>
  <c r="E41" i="1"/>
  <c r="L40" i="1"/>
  <c r="E40" i="1"/>
  <c r="L39" i="1"/>
  <c r="E39" i="1"/>
  <c r="L38" i="1"/>
  <c r="E38" i="1"/>
  <c r="L37" i="1"/>
  <c r="E37" i="1"/>
  <c r="L36" i="1"/>
  <c r="E36" i="1"/>
  <c r="L35" i="1"/>
  <c r="E35" i="1"/>
  <c r="L34" i="1"/>
  <c r="E34" i="1"/>
  <c r="L33" i="1"/>
  <c r="E33" i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S21" i="1"/>
  <c r="S20" i="1"/>
  <c r="D19" i="1"/>
  <c r="S19" i="1" s="1"/>
  <c r="D18" i="1"/>
  <c r="S18" i="1" s="1"/>
  <c r="D17" i="1"/>
  <c r="S17" i="1" s="1"/>
  <c r="D16" i="1"/>
  <c r="S16" i="1" s="1"/>
  <c r="D15" i="1"/>
  <c r="S15" i="1" s="1"/>
  <c r="S14" i="1"/>
  <c r="S13" i="1"/>
  <c r="S12" i="1"/>
  <c r="S11" i="1"/>
  <c r="D10" i="1"/>
  <c r="S10" i="1" s="1"/>
  <c r="D9" i="1"/>
  <c r="S9" i="1" s="1"/>
  <c r="D8" i="1"/>
  <c r="S8" i="1" s="1"/>
  <c r="D7" i="1"/>
  <c r="S7" i="1" s="1"/>
  <c r="D6" i="1"/>
  <c r="S6" i="1" s="1"/>
  <c r="L5" i="1"/>
  <c r="E5" i="1"/>
  <c r="D5" i="1"/>
  <c r="S5" i="1" s="1"/>
  <c r="G3" i="1"/>
  <c r="F3" i="1"/>
  <c r="C3" i="1"/>
  <c r="D3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I5" i="1"/>
  <c r="H5" i="1"/>
  <c r="I25" i="1"/>
  <c r="H25" i="1"/>
  <c r="J25" i="1" s="1"/>
  <c r="K25" i="1" s="1"/>
  <c r="I26" i="1"/>
  <c r="H26" i="1"/>
  <c r="J26" i="1" s="1"/>
  <c r="I27" i="1"/>
  <c r="H27" i="1"/>
  <c r="J27" i="1" s="1"/>
  <c r="I28" i="1"/>
  <c r="H28" i="1"/>
  <c r="J28" i="1" s="1"/>
  <c r="I29" i="1"/>
  <c r="H29" i="1"/>
  <c r="J29" i="1" s="1"/>
  <c r="K29" i="1" s="1"/>
  <c r="I30" i="1"/>
  <c r="H30" i="1"/>
  <c r="J30" i="1" s="1"/>
  <c r="I31" i="1"/>
  <c r="H31" i="1"/>
  <c r="J31" i="1" s="1"/>
  <c r="K31" i="1" s="1"/>
  <c r="I32" i="1"/>
  <c r="H32" i="1"/>
  <c r="J32" i="1" s="1"/>
  <c r="I33" i="1"/>
  <c r="H33" i="1"/>
  <c r="J33" i="1" s="1"/>
  <c r="I34" i="1"/>
  <c r="H34" i="1"/>
  <c r="J34" i="1" s="1"/>
  <c r="I35" i="1"/>
  <c r="H35" i="1"/>
  <c r="J35" i="1" s="1"/>
  <c r="K35" i="1" s="1"/>
  <c r="I36" i="1"/>
  <c r="H36" i="1"/>
  <c r="J36" i="1" s="1"/>
  <c r="I37" i="1"/>
  <c r="H37" i="1"/>
  <c r="J37" i="1" s="1"/>
  <c r="K37" i="1" s="1"/>
  <c r="I38" i="1"/>
  <c r="H38" i="1"/>
  <c r="J38" i="1" s="1"/>
  <c r="I39" i="1"/>
  <c r="H39" i="1"/>
  <c r="J39" i="1" s="1"/>
  <c r="I40" i="1"/>
  <c r="H40" i="1"/>
  <c r="J40" i="1" s="1"/>
  <c r="I41" i="1"/>
  <c r="H41" i="1"/>
  <c r="J41" i="1" s="1"/>
  <c r="K41" i="1" s="1"/>
  <c r="I42" i="1"/>
  <c r="H42" i="1"/>
  <c r="J42" i="1" s="1"/>
  <c r="I43" i="1"/>
  <c r="H43" i="1"/>
  <c r="J43" i="1" s="1"/>
  <c r="K43" i="1" s="1"/>
  <c r="I44" i="1"/>
  <c r="H44" i="1"/>
  <c r="J44" i="1" s="1"/>
  <c r="I45" i="1"/>
  <c r="H45" i="1"/>
  <c r="J45" i="1" s="1"/>
  <c r="I46" i="1"/>
  <c r="H46" i="1"/>
  <c r="J46" i="1" s="1"/>
  <c r="I47" i="1"/>
  <c r="H47" i="1"/>
  <c r="J47" i="1" s="1"/>
  <c r="K47" i="1" s="1"/>
  <c r="I48" i="1"/>
  <c r="H48" i="1"/>
  <c r="J48" i="1" s="1"/>
  <c r="I49" i="1"/>
  <c r="H49" i="1"/>
  <c r="J49" i="1" s="1"/>
  <c r="K49" i="1" s="1"/>
  <c r="I50" i="1"/>
  <c r="H50" i="1"/>
  <c r="J50" i="1" s="1"/>
  <c r="I51" i="1"/>
  <c r="H51" i="1"/>
  <c r="J51" i="1" s="1"/>
  <c r="I52" i="1"/>
  <c r="H52" i="1"/>
  <c r="J52" i="1" s="1"/>
  <c r="I53" i="1"/>
  <c r="H53" i="1"/>
  <c r="J53" i="1" s="1"/>
  <c r="K53" i="1" s="1"/>
  <c r="I54" i="1"/>
  <c r="H54" i="1"/>
  <c r="J54" i="1" s="1"/>
  <c r="K54" i="1" s="1"/>
  <c r="I55" i="1"/>
  <c r="H55" i="1"/>
  <c r="J55" i="1" s="1"/>
  <c r="K55" i="1" s="1"/>
  <c r="I56" i="1"/>
  <c r="H56" i="1"/>
  <c r="J56" i="1" s="1"/>
  <c r="I57" i="1"/>
  <c r="H57" i="1"/>
  <c r="J57" i="1" s="1"/>
  <c r="I58" i="1"/>
  <c r="H58" i="1"/>
  <c r="J58" i="1" s="1"/>
  <c r="I59" i="1"/>
  <c r="H59" i="1"/>
  <c r="J59" i="1" s="1"/>
  <c r="K59" i="1" s="1"/>
  <c r="I60" i="1"/>
  <c r="H60" i="1"/>
  <c r="J60" i="1" s="1"/>
  <c r="K60" i="1" s="1"/>
  <c r="I61" i="1"/>
  <c r="H61" i="1"/>
  <c r="J61" i="1" s="1"/>
  <c r="K61" i="1" s="1"/>
  <c r="I62" i="1"/>
  <c r="H62" i="1"/>
  <c r="J62" i="1" s="1"/>
  <c r="I63" i="1"/>
  <c r="H63" i="1"/>
  <c r="J63" i="1" s="1"/>
  <c r="I64" i="1"/>
  <c r="H64" i="1"/>
  <c r="J64" i="1" s="1"/>
  <c r="I65" i="1"/>
  <c r="H65" i="1"/>
  <c r="J65" i="1" s="1"/>
  <c r="K65" i="1" s="1"/>
  <c r="I66" i="1"/>
  <c r="H66" i="1"/>
  <c r="J66" i="1" s="1"/>
  <c r="K66" i="1" s="1"/>
  <c r="I67" i="1"/>
  <c r="H67" i="1"/>
  <c r="J67" i="1" s="1"/>
  <c r="K67" i="1" s="1"/>
  <c r="I68" i="1"/>
  <c r="H68" i="1"/>
  <c r="J68" i="1" s="1"/>
  <c r="I69" i="1"/>
  <c r="H69" i="1"/>
  <c r="J69" i="1" s="1"/>
  <c r="I70" i="1"/>
  <c r="H70" i="1"/>
  <c r="J70" i="1" s="1"/>
  <c r="I71" i="1"/>
  <c r="H71" i="1"/>
  <c r="J71" i="1" s="1"/>
  <c r="K71" i="1" s="1"/>
  <c r="I72" i="1"/>
  <c r="H72" i="1"/>
  <c r="J72" i="1" s="1"/>
  <c r="K72" i="1" s="1"/>
  <c r="I73" i="1"/>
  <c r="H73" i="1"/>
  <c r="J73" i="1" s="1"/>
  <c r="K73" i="1" s="1"/>
  <c r="I74" i="1"/>
  <c r="H74" i="1"/>
  <c r="J74" i="1" s="1"/>
  <c r="I75" i="1"/>
  <c r="H75" i="1"/>
  <c r="J75" i="1" s="1"/>
  <c r="K75" i="1" s="1"/>
  <c r="I76" i="1"/>
  <c r="H76" i="1"/>
  <c r="J76" i="1" s="1"/>
  <c r="I77" i="1"/>
  <c r="H77" i="1"/>
  <c r="J77" i="1" s="1"/>
  <c r="K77" i="1" s="1"/>
  <c r="I78" i="1"/>
  <c r="H78" i="1"/>
  <c r="J78" i="1" s="1"/>
  <c r="K78" i="1" s="1"/>
  <c r="I79" i="1"/>
  <c r="H79" i="1"/>
  <c r="J79" i="1" s="1"/>
  <c r="K79" i="1" s="1"/>
  <c r="I80" i="1"/>
  <c r="H80" i="1"/>
  <c r="J80" i="1" s="1"/>
  <c r="I81" i="1"/>
  <c r="H81" i="1"/>
  <c r="J81" i="1" s="1"/>
  <c r="K81" i="1" s="1"/>
  <c r="I82" i="1"/>
  <c r="H82" i="1"/>
  <c r="J82" i="1" s="1"/>
  <c r="I83" i="1"/>
  <c r="H83" i="1"/>
  <c r="J83" i="1" s="1"/>
  <c r="K83" i="1" s="1"/>
  <c r="I84" i="1"/>
  <c r="H84" i="1"/>
  <c r="J84" i="1" s="1"/>
  <c r="K84" i="1" s="1"/>
  <c r="I85" i="1"/>
  <c r="H85" i="1"/>
  <c r="J85" i="1" s="1"/>
  <c r="K85" i="1" s="1"/>
  <c r="I86" i="1"/>
  <c r="H86" i="1"/>
  <c r="J86" i="1" s="1"/>
  <c r="I87" i="1"/>
  <c r="H87" i="1"/>
  <c r="J87" i="1" s="1"/>
  <c r="K87" i="1" s="1"/>
  <c r="I88" i="1"/>
  <c r="H88" i="1"/>
  <c r="J88" i="1" s="1"/>
  <c r="I89" i="1"/>
  <c r="H89" i="1"/>
  <c r="J89" i="1" s="1"/>
  <c r="K89" i="1" s="1"/>
  <c r="I90" i="1"/>
  <c r="H90" i="1"/>
  <c r="J90" i="1" s="1"/>
  <c r="K90" i="1" s="1"/>
  <c r="I91" i="1"/>
  <c r="H91" i="1"/>
  <c r="J91" i="1" s="1"/>
  <c r="K91" i="1" s="1"/>
  <c r="I92" i="1"/>
  <c r="H92" i="1"/>
  <c r="J92" i="1" s="1"/>
  <c r="I93" i="1"/>
  <c r="H93" i="1"/>
  <c r="J93" i="1" s="1"/>
  <c r="K93" i="1" s="1"/>
  <c r="I94" i="1"/>
  <c r="H94" i="1"/>
  <c r="J94" i="1" s="1"/>
  <c r="K94" i="1" s="1"/>
  <c r="I95" i="1"/>
  <c r="H95" i="1"/>
  <c r="J95" i="1" s="1"/>
  <c r="K95" i="1" s="1"/>
  <c r="I96" i="1"/>
  <c r="H96" i="1"/>
  <c r="J96" i="1" s="1"/>
  <c r="K96" i="1" s="1"/>
  <c r="I97" i="1"/>
  <c r="H97" i="1"/>
  <c r="J97" i="1" s="1"/>
  <c r="K97" i="1" s="1"/>
  <c r="I98" i="1"/>
  <c r="H98" i="1"/>
  <c r="J98" i="1" s="1"/>
  <c r="I99" i="1"/>
  <c r="H99" i="1"/>
  <c r="J99" i="1" s="1"/>
  <c r="K99" i="1" s="1"/>
  <c r="I100" i="1"/>
  <c r="H100" i="1"/>
  <c r="J100" i="1" s="1"/>
  <c r="K100" i="1" s="1"/>
  <c r="I101" i="1"/>
  <c r="H101" i="1"/>
  <c r="J101" i="1" s="1"/>
  <c r="K101" i="1" s="1"/>
  <c r="I102" i="1"/>
  <c r="H102" i="1"/>
  <c r="J102" i="1" s="1"/>
  <c r="K102" i="1" s="1"/>
  <c r="I103" i="1"/>
  <c r="H103" i="1"/>
  <c r="J103" i="1" s="1"/>
  <c r="K103" i="1" s="1"/>
  <c r="I104" i="1"/>
  <c r="H104" i="1"/>
  <c r="J104" i="1" s="1"/>
  <c r="I105" i="1"/>
  <c r="H105" i="1"/>
  <c r="J105" i="1" s="1"/>
  <c r="K105" i="1" s="1"/>
  <c r="I106" i="1"/>
  <c r="H106" i="1"/>
  <c r="J106" i="1" s="1"/>
  <c r="K106" i="1" s="1"/>
  <c r="I107" i="1"/>
  <c r="H107" i="1"/>
  <c r="J107" i="1" s="1"/>
  <c r="K107" i="1" s="1"/>
  <c r="I108" i="1"/>
  <c r="H108" i="1"/>
  <c r="J108" i="1" s="1"/>
  <c r="K108" i="1" s="1"/>
  <c r="I109" i="1"/>
  <c r="H109" i="1"/>
  <c r="J109" i="1" s="1"/>
  <c r="K109" i="1" s="1"/>
  <c r="I110" i="1"/>
  <c r="H110" i="1"/>
  <c r="J110" i="1" s="1"/>
  <c r="I111" i="1"/>
  <c r="H111" i="1"/>
  <c r="J111" i="1" s="1"/>
  <c r="K111" i="1" s="1"/>
  <c r="I112" i="1"/>
  <c r="H112" i="1"/>
  <c r="J112" i="1" s="1"/>
  <c r="K112" i="1" s="1"/>
  <c r="I113" i="1"/>
  <c r="H113" i="1"/>
  <c r="J113" i="1" s="1"/>
  <c r="K113" i="1" s="1"/>
  <c r="I114" i="1"/>
  <c r="H114" i="1"/>
  <c r="J114" i="1" s="1"/>
  <c r="K114" i="1" s="1"/>
  <c r="I115" i="1"/>
  <c r="H115" i="1"/>
  <c r="J115" i="1" s="1"/>
  <c r="K115" i="1" s="1"/>
  <c r="I116" i="1"/>
  <c r="H116" i="1"/>
  <c r="J116" i="1" s="1"/>
  <c r="I117" i="1"/>
  <c r="H117" i="1"/>
  <c r="J117" i="1" s="1"/>
  <c r="K117" i="1" s="1"/>
  <c r="I118" i="1"/>
  <c r="H118" i="1"/>
  <c r="J118" i="1" s="1"/>
  <c r="K118" i="1" s="1"/>
  <c r="I119" i="1"/>
  <c r="H119" i="1"/>
  <c r="J119" i="1" s="1"/>
  <c r="K119" i="1" s="1"/>
  <c r="I120" i="1"/>
  <c r="H120" i="1"/>
  <c r="J120" i="1" s="1"/>
  <c r="K120" i="1" s="1"/>
  <c r="I121" i="1"/>
  <c r="H121" i="1"/>
  <c r="J121" i="1" s="1"/>
  <c r="K121" i="1" s="1"/>
  <c r="I122" i="1"/>
  <c r="H122" i="1"/>
  <c r="J122" i="1" s="1"/>
  <c r="I123" i="1"/>
  <c r="H123" i="1"/>
  <c r="J123" i="1" s="1"/>
  <c r="K123" i="1" s="1"/>
  <c r="K88" i="1" l="1"/>
  <c r="K82" i="1"/>
  <c r="K76" i="1"/>
  <c r="K70" i="1"/>
  <c r="K64" i="1"/>
  <c r="P64" i="1" s="1"/>
  <c r="K58" i="1"/>
  <c r="P58" i="1" s="1"/>
  <c r="K52" i="1"/>
  <c r="P52" i="1" s="1"/>
  <c r="K46" i="1"/>
  <c r="K40" i="1"/>
  <c r="M40" i="1" s="1"/>
  <c r="N40" i="1" s="1"/>
  <c r="O40" i="1" s="1"/>
  <c r="K34" i="1"/>
  <c r="P34" i="1" s="1"/>
  <c r="K28" i="1"/>
  <c r="P28" i="1" s="1"/>
  <c r="K69" i="1"/>
  <c r="P69" i="1" s="1"/>
  <c r="K63" i="1"/>
  <c r="K57" i="1"/>
  <c r="K51" i="1"/>
  <c r="K45" i="1"/>
  <c r="K39" i="1"/>
  <c r="K33" i="1"/>
  <c r="K27" i="1"/>
  <c r="M27" i="1" s="1"/>
  <c r="N27" i="1" s="1"/>
  <c r="O27" i="1" s="1"/>
  <c r="K122" i="1"/>
  <c r="P122" i="1" s="1"/>
  <c r="K116" i="1"/>
  <c r="P116" i="1" s="1"/>
  <c r="K110" i="1"/>
  <c r="P110" i="1" s="1"/>
  <c r="K104" i="1"/>
  <c r="P104" i="1" s="1"/>
  <c r="K98" i="1"/>
  <c r="P98" i="1" s="1"/>
  <c r="K92" i="1"/>
  <c r="K86" i="1"/>
  <c r="P86" i="1" s="1"/>
  <c r="K80" i="1"/>
  <c r="P80" i="1" s="1"/>
  <c r="K74" i="1"/>
  <c r="P74" i="1" s="1"/>
  <c r="K68" i="1"/>
  <c r="P68" i="1" s="1"/>
  <c r="K62" i="1"/>
  <c r="P62" i="1" s="1"/>
  <c r="K56" i="1"/>
  <c r="P56" i="1" s="1"/>
  <c r="K50" i="1"/>
  <c r="P50" i="1" s="1"/>
  <c r="K44" i="1"/>
  <c r="P44" i="1" s="1"/>
  <c r="K38" i="1"/>
  <c r="P38" i="1" s="1"/>
  <c r="K32" i="1"/>
  <c r="P32" i="1" s="1"/>
  <c r="K26" i="1"/>
  <c r="P26" i="1" s="1"/>
  <c r="K48" i="1"/>
  <c r="K42" i="1"/>
  <c r="K36" i="1"/>
  <c r="K30" i="1"/>
  <c r="E20" i="1"/>
  <c r="I20" i="1" s="1"/>
  <c r="L20" i="1"/>
  <c r="L21" i="1"/>
  <c r="E21" i="1"/>
  <c r="P123" i="1"/>
  <c r="M123" i="1"/>
  <c r="N123" i="1" s="1"/>
  <c r="O123" i="1" s="1"/>
  <c r="P121" i="1"/>
  <c r="M121" i="1"/>
  <c r="N121" i="1" s="1"/>
  <c r="O121" i="1" s="1"/>
  <c r="P120" i="1"/>
  <c r="M120" i="1"/>
  <c r="N120" i="1" s="1"/>
  <c r="O120" i="1" s="1"/>
  <c r="P119" i="1"/>
  <c r="M119" i="1"/>
  <c r="N119" i="1" s="1"/>
  <c r="O119" i="1" s="1"/>
  <c r="P118" i="1"/>
  <c r="M118" i="1"/>
  <c r="N118" i="1" s="1"/>
  <c r="O118" i="1" s="1"/>
  <c r="P117" i="1"/>
  <c r="M117" i="1"/>
  <c r="N117" i="1" s="1"/>
  <c r="O117" i="1" s="1"/>
  <c r="P115" i="1"/>
  <c r="M115" i="1"/>
  <c r="N115" i="1" s="1"/>
  <c r="O115" i="1" s="1"/>
  <c r="P114" i="1"/>
  <c r="M114" i="1"/>
  <c r="N114" i="1" s="1"/>
  <c r="O114" i="1" s="1"/>
  <c r="P113" i="1"/>
  <c r="M113" i="1"/>
  <c r="N113" i="1" s="1"/>
  <c r="O113" i="1" s="1"/>
  <c r="P112" i="1"/>
  <c r="M112" i="1"/>
  <c r="N112" i="1" s="1"/>
  <c r="O112" i="1" s="1"/>
  <c r="P111" i="1"/>
  <c r="M111" i="1"/>
  <c r="N111" i="1" s="1"/>
  <c r="O111" i="1" s="1"/>
  <c r="P109" i="1"/>
  <c r="M109" i="1"/>
  <c r="N109" i="1" s="1"/>
  <c r="O109" i="1" s="1"/>
  <c r="P108" i="1"/>
  <c r="M108" i="1"/>
  <c r="N108" i="1" s="1"/>
  <c r="O108" i="1" s="1"/>
  <c r="P107" i="1"/>
  <c r="M107" i="1"/>
  <c r="N107" i="1" s="1"/>
  <c r="O107" i="1" s="1"/>
  <c r="P106" i="1"/>
  <c r="M106" i="1"/>
  <c r="N106" i="1" s="1"/>
  <c r="O106" i="1" s="1"/>
  <c r="P105" i="1"/>
  <c r="M105" i="1"/>
  <c r="N105" i="1" s="1"/>
  <c r="O105" i="1" s="1"/>
  <c r="P103" i="1"/>
  <c r="M103" i="1"/>
  <c r="N103" i="1" s="1"/>
  <c r="O103" i="1" s="1"/>
  <c r="P102" i="1"/>
  <c r="M102" i="1"/>
  <c r="N102" i="1" s="1"/>
  <c r="O102" i="1" s="1"/>
  <c r="P101" i="1"/>
  <c r="M101" i="1"/>
  <c r="N101" i="1" s="1"/>
  <c r="O101" i="1" s="1"/>
  <c r="P100" i="1"/>
  <c r="M100" i="1"/>
  <c r="N100" i="1" s="1"/>
  <c r="O100" i="1" s="1"/>
  <c r="P99" i="1"/>
  <c r="M99" i="1"/>
  <c r="N99" i="1" s="1"/>
  <c r="O99" i="1" s="1"/>
  <c r="P97" i="1"/>
  <c r="M97" i="1"/>
  <c r="N97" i="1" s="1"/>
  <c r="O97" i="1" s="1"/>
  <c r="P96" i="1"/>
  <c r="M96" i="1"/>
  <c r="N96" i="1" s="1"/>
  <c r="O96" i="1" s="1"/>
  <c r="P95" i="1"/>
  <c r="M95" i="1"/>
  <c r="N95" i="1" s="1"/>
  <c r="O95" i="1" s="1"/>
  <c r="P94" i="1"/>
  <c r="M94" i="1"/>
  <c r="N94" i="1" s="1"/>
  <c r="O94" i="1" s="1"/>
  <c r="P93" i="1"/>
  <c r="M93" i="1"/>
  <c r="N93" i="1" s="1"/>
  <c r="O93" i="1" s="1"/>
  <c r="P92" i="1"/>
  <c r="M92" i="1"/>
  <c r="N92" i="1" s="1"/>
  <c r="O92" i="1" s="1"/>
  <c r="P91" i="1"/>
  <c r="M91" i="1"/>
  <c r="N91" i="1" s="1"/>
  <c r="O91" i="1" s="1"/>
  <c r="P90" i="1"/>
  <c r="M90" i="1"/>
  <c r="N90" i="1" s="1"/>
  <c r="O90" i="1" s="1"/>
  <c r="P89" i="1"/>
  <c r="M89" i="1"/>
  <c r="N89" i="1" s="1"/>
  <c r="O89" i="1" s="1"/>
  <c r="P88" i="1"/>
  <c r="M88" i="1"/>
  <c r="N88" i="1" s="1"/>
  <c r="O88" i="1" s="1"/>
  <c r="P87" i="1"/>
  <c r="M87" i="1"/>
  <c r="N87" i="1" s="1"/>
  <c r="O87" i="1" s="1"/>
  <c r="M86" i="1"/>
  <c r="N86" i="1" s="1"/>
  <c r="O86" i="1" s="1"/>
  <c r="P85" i="1"/>
  <c r="M85" i="1"/>
  <c r="N85" i="1" s="1"/>
  <c r="O85" i="1" s="1"/>
  <c r="P84" i="1"/>
  <c r="M84" i="1"/>
  <c r="N84" i="1" s="1"/>
  <c r="O84" i="1" s="1"/>
  <c r="P83" i="1"/>
  <c r="M83" i="1"/>
  <c r="N83" i="1" s="1"/>
  <c r="O83" i="1" s="1"/>
  <c r="P82" i="1"/>
  <c r="M82" i="1"/>
  <c r="N82" i="1" s="1"/>
  <c r="O82" i="1" s="1"/>
  <c r="P81" i="1"/>
  <c r="M81" i="1"/>
  <c r="N81" i="1" s="1"/>
  <c r="O81" i="1" s="1"/>
  <c r="P79" i="1"/>
  <c r="M79" i="1"/>
  <c r="N79" i="1" s="1"/>
  <c r="O79" i="1" s="1"/>
  <c r="P78" i="1"/>
  <c r="M78" i="1"/>
  <c r="N78" i="1" s="1"/>
  <c r="O78" i="1" s="1"/>
  <c r="P77" i="1"/>
  <c r="M77" i="1"/>
  <c r="N77" i="1" s="1"/>
  <c r="O77" i="1" s="1"/>
  <c r="P76" i="1"/>
  <c r="M76" i="1"/>
  <c r="N76" i="1" s="1"/>
  <c r="O76" i="1" s="1"/>
  <c r="P75" i="1"/>
  <c r="M75" i="1"/>
  <c r="N75" i="1" s="1"/>
  <c r="O75" i="1" s="1"/>
  <c r="P73" i="1"/>
  <c r="M73" i="1"/>
  <c r="N73" i="1" s="1"/>
  <c r="O73" i="1" s="1"/>
  <c r="P72" i="1"/>
  <c r="M72" i="1"/>
  <c r="N72" i="1" s="1"/>
  <c r="O72" i="1" s="1"/>
  <c r="P71" i="1"/>
  <c r="M71" i="1"/>
  <c r="N71" i="1" s="1"/>
  <c r="O71" i="1" s="1"/>
  <c r="P70" i="1"/>
  <c r="M70" i="1"/>
  <c r="N70" i="1" s="1"/>
  <c r="O70" i="1" s="1"/>
  <c r="P67" i="1"/>
  <c r="M67" i="1"/>
  <c r="N67" i="1" s="1"/>
  <c r="O67" i="1" s="1"/>
  <c r="P66" i="1"/>
  <c r="M66" i="1"/>
  <c r="N66" i="1" s="1"/>
  <c r="O66" i="1" s="1"/>
  <c r="P65" i="1"/>
  <c r="M65" i="1"/>
  <c r="N65" i="1" s="1"/>
  <c r="O65" i="1" s="1"/>
  <c r="M64" i="1"/>
  <c r="N64" i="1" s="1"/>
  <c r="O64" i="1" s="1"/>
  <c r="P63" i="1"/>
  <c r="M63" i="1"/>
  <c r="N63" i="1" s="1"/>
  <c r="O63" i="1" s="1"/>
  <c r="P61" i="1"/>
  <c r="M61" i="1"/>
  <c r="N61" i="1" s="1"/>
  <c r="O61" i="1" s="1"/>
  <c r="P60" i="1"/>
  <c r="M60" i="1"/>
  <c r="N60" i="1" s="1"/>
  <c r="O60" i="1" s="1"/>
  <c r="P59" i="1"/>
  <c r="M59" i="1"/>
  <c r="N59" i="1" s="1"/>
  <c r="O59" i="1" s="1"/>
  <c r="P57" i="1"/>
  <c r="M57" i="1"/>
  <c r="N57" i="1" s="1"/>
  <c r="O57" i="1" s="1"/>
  <c r="P55" i="1"/>
  <c r="M55" i="1"/>
  <c r="N55" i="1" s="1"/>
  <c r="O55" i="1" s="1"/>
  <c r="P54" i="1"/>
  <c r="M54" i="1"/>
  <c r="N54" i="1" s="1"/>
  <c r="O54" i="1" s="1"/>
  <c r="P53" i="1"/>
  <c r="M53" i="1"/>
  <c r="N53" i="1" s="1"/>
  <c r="O53" i="1" s="1"/>
  <c r="P51" i="1"/>
  <c r="M51" i="1"/>
  <c r="N51" i="1" s="1"/>
  <c r="O51" i="1" s="1"/>
  <c r="P49" i="1"/>
  <c r="M49" i="1"/>
  <c r="N49" i="1" s="1"/>
  <c r="O49" i="1" s="1"/>
  <c r="P48" i="1"/>
  <c r="M48" i="1"/>
  <c r="N48" i="1" s="1"/>
  <c r="O48" i="1" s="1"/>
  <c r="P47" i="1"/>
  <c r="M47" i="1"/>
  <c r="N47" i="1" s="1"/>
  <c r="O47" i="1" s="1"/>
  <c r="P46" i="1"/>
  <c r="M46" i="1"/>
  <c r="N46" i="1" s="1"/>
  <c r="O46" i="1" s="1"/>
  <c r="P45" i="1"/>
  <c r="M45" i="1"/>
  <c r="N45" i="1" s="1"/>
  <c r="O45" i="1" s="1"/>
  <c r="P43" i="1"/>
  <c r="M43" i="1"/>
  <c r="N43" i="1" s="1"/>
  <c r="O43" i="1" s="1"/>
  <c r="P42" i="1"/>
  <c r="M42" i="1"/>
  <c r="N42" i="1" s="1"/>
  <c r="O42" i="1" s="1"/>
  <c r="P41" i="1"/>
  <c r="M41" i="1"/>
  <c r="N41" i="1" s="1"/>
  <c r="O41" i="1" s="1"/>
  <c r="P40" i="1"/>
  <c r="P39" i="1"/>
  <c r="M39" i="1"/>
  <c r="N39" i="1" s="1"/>
  <c r="O39" i="1" s="1"/>
  <c r="P37" i="1"/>
  <c r="M37" i="1"/>
  <c r="N37" i="1" s="1"/>
  <c r="O37" i="1" s="1"/>
  <c r="P36" i="1"/>
  <c r="M36" i="1"/>
  <c r="N36" i="1" s="1"/>
  <c r="O36" i="1" s="1"/>
  <c r="P35" i="1"/>
  <c r="M35" i="1"/>
  <c r="N35" i="1" s="1"/>
  <c r="O35" i="1" s="1"/>
  <c r="P33" i="1"/>
  <c r="M33" i="1"/>
  <c r="N33" i="1" s="1"/>
  <c r="O33" i="1" s="1"/>
  <c r="P31" i="1"/>
  <c r="M31" i="1"/>
  <c r="N31" i="1" s="1"/>
  <c r="O31" i="1" s="1"/>
  <c r="P30" i="1"/>
  <c r="M30" i="1"/>
  <c r="N30" i="1" s="1"/>
  <c r="O30" i="1" s="1"/>
  <c r="P29" i="1"/>
  <c r="M29" i="1"/>
  <c r="N29" i="1" s="1"/>
  <c r="O29" i="1" s="1"/>
  <c r="P27" i="1"/>
  <c r="P25" i="1"/>
  <c r="M25" i="1"/>
  <c r="N25" i="1" s="1"/>
  <c r="O25" i="1" s="1"/>
  <c r="J5" i="1"/>
  <c r="M69" i="1" l="1"/>
  <c r="N69" i="1" s="1"/>
  <c r="O69" i="1" s="1"/>
  <c r="H20" i="1"/>
  <c r="J20" i="1" s="1"/>
  <c r="K20" i="1" s="1"/>
  <c r="M20" i="1" s="1"/>
  <c r="N20" i="1" s="1"/>
  <c r="O20" i="1" s="1"/>
  <c r="M34" i="1"/>
  <c r="N34" i="1" s="1"/>
  <c r="O34" i="1" s="1"/>
  <c r="M26" i="1"/>
  <c r="N26" i="1" s="1"/>
  <c r="O26" i="1" s="1"/>
  <c r="M58" i="1"/>
  <c r="N58" i="1" s="1"/>
  <c r="O58" i="1" s="1"/>
  <c r="M28" i="1"/>
  <c r="N28" i="1" s="1"/>
  <c r="O28" i="1" s="1"/>
  <c r="M98" i="1"/>
  <c r="N98" i="1" s="1"/>
  <c r="O98" i="1" s="1"/>
  <c r="M52" i="1"/>
  <c r="N52" i="1" s="1"/>
  <c r="O52" i="1" s="1"/>
  <c r="M38" i="1"/>
  <c r="N38" i="1" s="1"/>
  <c r="O38" i="1" s="1"/>
  <c r="M50" i="1"/>
  <c r="N50" i="1" s="1"/>
  <c r="O50" i="1" s="1"/>
  <c r="M62" i="1"/>
  <c r="N62" i="1" s="1"/>
  <c r="O62" i="1" s="1"/>
  <c r="M74" i="1"/>
  <c r="N74" i="1" s="1"/>
  <c r="O74" i="1" s="1"/>
  <c r="M80" i="1"/>
  <c r="N80" i="1" s="1"/>
  <c r="O80" i="1" s="1"/>
  <c r="M104" i="1"/>
  <c r="N104" i="1" s="1"/>
  <c r="O104" i="1" s="1"/>
  <c r="M110" i="1"/>
  <c r="N110" i="1" s="1"/>
  <c r="O110" i="1" s="1"/>
  <c r="M116" i="1"/>
  <c r="N116" i="1" s="1"/>
  <c r="O116" i="1" s="1"/>
  <c r="M122" i="1"/>
  <c r="N122" i="1" s="1"/>
  <c r="O122" i="1" s="1"/>
  <c r="M32" i="1"/>
  <c r="N32" i="1" s="1"/>
  <c r="O32" i="1" s="1"/>
  <c r="M44" i="1"/>
  <c r="N44" i="1" s="1"/>
  <c r="O44" i="1" s="1"/>
  <c r="M56" i="1"/>
  <c r="N56" i="1" s="1"/>
  <c r="O56" i="1" s="1"/>
  <c r="M68" i="1"/>
  <c r="N68" i="1" s="1"/>
  <c r="O68" i="1" s="1"/>
  <c r="P20" i="1"/>
  <c r="H21" i="1"/>
  <c r="J21" i="1" s="1"/>
  <c r="I21" i="1"/>
  <c r="L22" i="1"/>
  <c r="E22" i="1"/>
  <c r="K5" i="1"/>
  <c r="I22" i="1" l="1"/>
  <c r="H22" i="1"/>
  <c r="J22" i="1" s="1"/>
  <c r="K22" i="1" s="1"/>
  <c r="E23" i="1"/>
  <c r="L23" i="1"/>
  <c r="K21" i="1"/>
  <c r="P5" i="1"/>
  <c r="M5" i="1"/>
  <c r="N5" i="1" s="1"/>
  <c r="P22" i="1" l="1"/>
  <c r="M22" i="1"/>
  <c r="N22" i="1" s="1"/>
  <c r="O22" i="1" s="1"/>
  <c r="P21" i="1"/>
  <c r="M21" i="1"/>
  <c r="N21" i="1" s="1"/>
  <c r="O21" i="1" s="1"/>
  <c r="L24" i="1"/>
  <c r="E24" i="1"/>
  <c r="H23" i="1"/>
  <c r="J23" i="1" s="1"/>
  <c r="I23" i="1"/>
  <c r="O5" i="1"/>
  <c r="L6" i="1"/>
  <c r="H6" i="1"/>
  <c r="E7" i="1"/>
  <c r="K23" i="1" l="1"/>
  <c r="M23" i="1" s="1"/>
  <c r="N23" i="1" s="1"/>
  <c r="O23" i="1" s="1"/>
  <c r="I24" i="1"/>
  <c r="H24" i="1"/>
  <c r="J24" i="1" s="1"/>
  <c r="L9" i="1"/>
  <c r="E9" i="1"/>
  <c r="I7" i="1"/>
  <c r="H7" i="1"/>
  <c r="J7" i="1" s="1"/>
  <c r="J6" i="1"/>
  <c r="E8" i="1"/>
  <c r="L8" i="1"/>
  <c r="L7" i="1"/>
  <c r="I6" i="1"/>
  <c r="P23" i="1" l="1"/>
  <c r="K24" i="1"/>
  <c r="P24" i="1" s="1"/>
  <c r="K7" i="1"/>
  <c r="P7" i="1"/>
  <c r="M7" i="1"/>
  <c r="N7" i="1" s="1"/>
  <c r="O7" i="1" s="1"/>
  <c r="K6" i="1"/>
  <c r="H8" i="1"/>
  <c r="J8" i="1" s="1"/>
  <c r="I8" i="1"/>
  <c r="L10" i="1"/>
  <c r="E10" i="1"/>
  <c r="H9" i="1"/>
  <c r="J9" i="1" s="1"/>
  <c r="I9" i="1"/>
  <c r="M24" i="1" l="1"/>
  <c r="N24" i="1" s="1"/>
  <c r="O24" i="1" s="1"/>
  <c r="K9" i="1"/>
  <c r="H10" i="1"/>
  <c r="J10" i="1" s="1"/>
  <c r="I10" i="1"/>
  <c r="L11" i="1"/>
  <c r="E11" i="1"/>
  <c r="P9" i="1"/>
  <c r="M9" i="1"/>
  <c r="N9" i="1" s="1"/>
  <c r="O9" i="1" s="1"/>
  <c r="K8" i="1"/>
  <c r="P6" i="1"/>
  <c r="M6" i="1"/>
  <c r="N6" i="1" s="1"/>
  <c r="K10" i="1" l="1"/>
  <c r="P10" i="1" s="1"/>
  <c r="I11" i="1"/>
  <c r="H11" i="1"/>
  <c r="L12" i="1"/>
  <c r="E12" i="1"/>
  <c r="O6" i="1"/>
  <c r="M8" i="1"/>
  <c r="N8" i="1" s="1"/>
  <c r="O8" i="1" s="1"/>
  <c r="P8" i="1"/>
  <c r="M10" i="1" l="1"/>
  <c r="N10" i="1" s="1"/>
  <c r="O10" i="1" s="1"/>
  <c r="H12" i="1"/>
  <c r="J12" i="1" s="1"/>
  <c r="I12" i="1"/>
  <c r="J11" i="1"/>
  <c r="E13" i="1"/>
  <c r="L13" i="1"/>
  <c r="L14" i="1" l="1"/>
  <c r="E14" i="1"/>
  <c r="K11" i="1"/>
  <c r="K12" i="1"/>
  <c r="I13" i="1"/>
  <c r="H13" i="1"/>
  <c r="J13" i="1" l="1"/>
  <c r="K13" i="1" s="1"/>
  <c r="P12" i="1"/>
  <c r="M12" i="1"/>
  <c r="N12" i="1" s="1"/>
  <c r="O12" i="1" s="1"/>
  <c r="P11" i="1"/>
  <c r="M11" i="1"/>
  <c r="N11" i="1" s="1"/>
  <c r="L15" i="1"/>
  <c r="E15" i="1"/>
  <c r="H14" i="1"/>
  <c r="J14" i="1" s="1"/>
  <c r="I14" i="1"/>
  <c r="K14" i="1" l="1"/>
  <c r="P14" i="1" s="1"/>
  <c r="L16" i="1"/>
  <c r="E16" i="1"/>
  <c r="O11" i="1"/>
  <c r="I15" i="1"/>
  <c r="H15" i="1"/>
  <c r="J15" i="1" s="1"/>
  <c r="K15" i="1" s="1"/>
  <c r="P13" i="1"/>
  <c r="M13" i="1"/>
  <c r="N13" i="1" s="1"/>
  <c r="O13" i="1" s="1"/>
  <c r="M14" i="1" l="1"/>
  <c r="N14" i="1" s="1"/>
  <c r="O14" i="1" s="1"/>
  <c r="I16" i="1"/>
  <c r="H16" i="1"/>
  <c r="J16" i="1" s="1"/>
  <c r="P15" i="1"/>
  <c r="M15" i="1"/>
  <c r="N15" i="1" s="1"/>
  <c r="L17" i="1"/>
  <c r="E17" i="1"/>
  <c r="K16" i="1" l="1"/>
  <c r="E18" i="1"/>
  <c r="L18" i="1"/>
  <c r="O15" i="1"/>
  <c r="P16" i="1"/>
  <c r="M16" i="1"/>
  <c r="N16" i="1" s="1"/>
  <c r="O16" i="1" s="1"/>
  <c r="H17" i="1"/>
  <c r="J17" i="1" s="1"/>
  <c r="I17" i="1"/>
  <c r="K17" i="1" l="1"/>
  <c r="P17" i="1"/>
  <c r="M17" i="1"/>
  <c r="N17" i="1" s="1"/>
  <c r="O17" i="1" s="1"/>
  <c r="E19" i="1"/>
  <c r="L19" i="1"/>
  <c r="L3" i="1" s="1"/>
  <c r="H18" i="1"/>
  <c r="J18" i="1" s="1"/>
  <c r="I18" i="1"/>
  <c r="I19" i="1" l="1"/>
  <c r="I3" i="1" s="1"/>
  <c r="H19" i="1"/>
  <c r="E3" i="1"/>
  <c r="K18" i="1"/>
  <c r="M18" i="1" l="1"/>
  <c r="N18" i="1" s="1"/>
  <c r="P18" i="1"/>
  <c r="J19" i="1"/>
  <c r="H3" i="1"/>
  <c r="K19" i="1" l="1"/>
  <c r="J3" i="1"/>
  <c r="K3" i="1" s="1"/>
  <c r="O18" i="1"/>
  <c r="P3" i="1" l="1"/>
  <c r="M3" i="1"/>
  <c r="P19" i="1"/>
  <c r="M19" i="1"/>
  <c r="N19" i="1" s="1"/>
  <c r="C8" i="4"/>
  <c r="C4" i="4"/>
  <c r="O19" i="1" l="1"/>
  <c r="N3" i="1"/>
  <c r="C5" i="4"/>
  <c r="F4" i="4" s="1"/>
  <c r="C6" i="4"/>
  <c r="F5" i="4" s="1"/>
  <c r="C7" i="4"/>
  <c r="F6" i="4" s="1"/>
  <c r="C9" i="4" l="1"/>
  <c r="O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  <author>João Antonio Carvalho Monteiro de Oliveira</author>
    <author>M365 Copilot</author>
  </authors>
  <commentList>
    <comment ref="A3" authorId="0" shapeId="0" xr:uid="{00000000-0006-0000-0000-000001000000}">
      <text>
        <r>
          <rPr>
            <sz val="10"/>
            <rFont val="Arial"/>
            <family val="2"/>
          </rPr>
          <t>Consolidado dinâmico. Totais e médias usam SUBTOTAL para respeitar os filtros aplicados à tabela. A disponibilidade agregada é calculada por Numerador total / Denominador total.</t>
        </r>
      </text>
    </comment>
    <comment ref="E4" authorId="1" shapeId="0" xr:uid="{00000000-0006-0000-0000-000002000000}">
      <text>
        <r>
          <rPr>
            <sz val="10"/>
            <color indexed="81"/>
            <rFont val="Arial Nova"/>
            <family val="2"/>
          </rPr>
          <t>Horas Totais no Período</t>
        </r>
        <r>
          <rPr>
            <sz val="10"/>
            <rFont val="Arial"/>
            <family val="2"/>
          </rPr>
          <t xml:space="preserve">
</t>
        </r>
      </text>
    </comment>
    <comment ref="F4" authorId="1" shapeId="0" xr:uid="{D6489576-7F97-4470-90B9-6B69B5218250}">
      <text>
        <r>
          <rPr>
            <sz val="10"/>
            <color indexed="81"/>
            <rFont val="Arial Nova"/>
            <family val="2"/>
          </rPr>
          <t>Horas de Manutenção Preventiva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H4" authorId="1" shapeId="0" xr:uid="{3DD8749E-868D-491D-9621-382858E40FFB}">
      <text>
        <r>
          <rPr>
            <sz val="10"/>
            <color indexed="81"/>
            <rFont val="Arial Nova"/>
            <family val="2"/>
          </rPr>
          <t>Horas Totais de Funcionamento no Período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4" authorId="2" shapeId="0" xr:uid="{00000000-0006-0000-0000-000003000000}">
      <text>
        <r>
          <rPr>
            <sz val="10"/>
            <rFont val="Arial"/>
            <family val="2"/>
          </rPr>
          <t>Cálculo: (HFT - HMP - HIJ) / (HT - HMP - HIJ). O formato percentual já representa a multiplicação por 100.</t>
        </r>
      </text>
    </comment>
    <comment ref="N4" authorId="2" shapeId="0" xr:uid="{00000000-0006-0000-0000-000004000000}">
      <text>
        <r>
          <rPr>
            <sz val="10"/>
            <rFont val="Arial"/>
            <family val="2"/>
          </rPr>
          <t>Quantidade de faixas conforme o critério selecionado na aba Parâmetros.</t>
        </r>
      </text>
    </comment>
  </commentList>
</comments>
</file>

<file path=xl/sharedStrings.xml><?xml version="1.0" encoding="utf-8"?>
<sst xmlns="http://schemas.openxmlformats.org/spreadsheetml/2006/main" count="77" uniqueCount="74">
  <si>
    <t>Avaliação mensal de disponibilidade — INMS 1.4</t>
  </si>
  <si>
    <t>Preencha somente as células azuis. Os cálculos seguem literalmente a fórmula informada no contrato.</t>
  </si>
  <si>
    <t>AGREGADO</t>
  </si>
  <si>
    <t>Competência</t>
  </si>
  <si>
    <t>ID</t>
  </si>
  <si>
    <t>Sistema/serviço</t>
  </si>
  <si>
    <t>Disponibilidade (Fornecedor)</t>
  </si>
  <si>
    <t>HT (h)</t>
  </si>
  <si>
    <t>HMP (h)</t>
  </si>
  <si>
    <t>HIJ (h)</t>
  </si>
  <si>
    <t>HFT (h)</t>
  </si>
  <si>
    <t>Denominador (h)</t>
  </si>
  <si>
    <t>Numerador (h)</t>
  </si>
  <si>
    <t>Disponibilidade</t>
  </si>
  <si>
    <t>Meta</t>
  </si>
  <si>
    <t>Déficit (p.p.)</t>
  </si>
  <si>
    <t>Faixas de 0,1%</t>
  </si>
  <si>
    <t>Pontos</t>
  </si>
  <si>
    <t>Resultado</t>
  </si>
  <si>
    <t>Observações</t>
  </si>
  <si>
    <t>aplicacoes.cultura.gov.br</t>
  </si>
  <si>
    <t>votacultura.cultura.gov.br</t>
  </si>
  <si>
    <t>vota.cultura.gov.br</t>
  </si>
  <si>
    <t>ver-snc.cultura.gov.br</t>
  </si>
  <si>
    <t>bsc.cultura.gov.br</t>
  </si>
  <si>
    <t>emergencialrs.cultura.gov.br</t>
  </si>
  <si>
    <t>dados.cultura.gov.br</t>
  </si>
  <si>
    <t>versalic.cultura.gov.br</t>
  </si>
  <si>
    <t>mapa.cultura.gov.br</t>
  </si>
  <si>
    <t>culturaviva.cultura.gov.br</t>
  </si>
  <si>
    <t>vale.cultura.gov.br</t>
  </si>
  <si>
    <t>snc.cultura.gov.br</t>
  </si>
  <si>
    <t>epracas.cultura.gov.br</t>
  </si>
  <si>
    <t>pgdpetrvs.cultura.gov.br</t>
  </si>
  <si>
    <t>sei.cultura.gov.br</t>
  </si>
  <si>
    <t>Parâmetro</t>
  </si>
  <si>
    <t>Valor</t>
  </si>
  <si>
    <t>Unidade</t>
  </si>
  <si>
    <t>Observação</t>
  </si>
  <si>
    <t>Meta de disponibilidade</t>
  </si>
  <si>
    <t>%</t>
  </si>
  <si>
    <t>Meta aplicada individualmente a cada sistema/serviço.</t>
  </si>
  <si>
    <t>Faixa de penalização</t>
  </si>
  <si>
    <t>ponto percentual</t>
  </si>
  <si>
    <t>Corresponde a 0,1 ponto percentual abaixo da meta.</t>
  </si>
  <si>
    <t>Pontos por faixa</t>
  </si>
  <si>
    <t>pontos</t>
  </si>
  <si>
    <t>1000 pontos a cada faixa de 0,1% abaixo da meta.</t>
  </si>
  <si>
    <t>Critério para fração de faixa</t>
  </si>
  <si>
    <t>INICIADA</t>
  </si>
  <si>
    <t>INICIADA: qualquer fração conta como uma faixa. COMPLETA: somente faixas completas.</t>
  </si>
  <si>
    <t>Fórmula contratual</t>
  </si>
  <si>
    <t>INMS 1.4 = ((HFT − HMP − HIJ) / (HT − HMP − HIJ)) × 100</t>
  </si>
  <si>
    <t>Siglas</t>
  </si>
  <si>
    <t>HT</t>
  </si>
  <si>
    <t>Horas Totais no Período</t>
  </si>
  <si>
    <t>HMP</t>
  </si>
  <si>
    <t>Horas de Manutenção Preventiva</t>
  </si>
  <si>
    <t>HIJ</t>
  </si>
  <si>
    <t>Horas Indisponíveis Justificadas</t>
  </si>
  <si>
    <t>HFT</t>
  </si>
  <si>
    <t>Horas Totais de Funcionamento no Período</t>
  </si>
  <si>
    <t>Indicador</t>
  </si>
  <si>
    <t>Situação</t>
  </si>
  <si>
    <t>Quantidade</t>
  </si>
  <si>
    <t>Registros avaliados</t>
  </si>
  <si>
    <t>Atendido</t>
  </si>
  <si>
    <t>Atendidos</t>
  </si>
  <si>
    <t>Não atendido</t>
  </si>
  <si>
    <t>Não atendidos</t>
  </si>
  <si>
    <t>Revisar</t>
  </si>
  <si>
    <t>Revisar dados</t>
  </si>
  <si>
    <t>Disponibilidade média</t>
  </si>
  <si>
    <t>Total de pontos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</si>
</sst>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16]mmm\-yy;@"/>
    <numFmt numFmtId="165" formatCode="#,##0.00;\(#,##0.00\);\-"/>
    <numFmt numFmtId="166" formatCode="0.00%;\(0.00%\);\-"/>
    <numFmt numFmtId="167" formatCode="0.0%;\(0.0%\);\-"/>
    <numFmt numFmtId="168" formatCode="#,##0;\(#,##0\);\-"/>
    <numFmt numFmtId="169" formatCode="m/d/yyyy"/>
    <numFmt numFmtId="170" formatCode="0.0%"/>
  </numFmts>
  <fonts count="18" x14ac:knownFonts="1">
    <font>
      <sz val="11"/>
      <color theme="1"/>
      <name val="Calibri"/>
      <family val="2"/>
      <charset val="1"/>
    </font>
    <font>
      <sz val="11"/>
      <color theme="1"/>
      <name val="Arial Nova"/>
      <family val="2"/>
      <charset val="1"/>
    </font>
    <font>
      <sz val="10"/>
      <name val="Arial"/>
      <family val="2"/>
    </font>
    <font>
      <sz val="9"/>
      <color indexed="81"/>
      <name val="Segoe UI"/>
      <charset val="1"/>
    </font>
    <font>
      <sz val="10"/>
      <color indexed="81"/>
      <name val="Arial Nova"/>
      <family val="2"/>
    </font>
    <font>
      <sz val="9"/>
      <color indexed="81"/>
      <name val="Segoe UI"/>
      <family val="2"/>
    </font>
    <font>
      <sz val="10"/>
      <name val="Arial Nova"/>
      <family val="2"/>
      <charset val="1"/>
    </font>
    <font>
      <sz val="11"/>
      <name val="Arial Nova"/>
      <family val="2"/>
      <charset val="1"/>
    </font>
    <font>
      <b/>
      <sz val="15"/>
      <name val="Arial Nova"/>
      <family val="2"/>
      <charset val="1"/>
    </font>
    <font>
      <b/>
      <sz val="10"/>
      <name val="Arial Nova"/>
      <family val="2"/>
      <charset val="1"/>
    </font>
    <font>
      <sz val="10"/>
      <name val="Arial Nova"/>
      <family val="2"/>
    </font>
    <font>
      <sz val="11"/>
      <color theme="1"/>
      <name val="Arial Nova"/>
      <family val="2"/>
    </font>
    <font>
      <i/>
      <sz val="10"/>
      <color rgb="FF666666"/>
      <name val="Arial Nova"/>
      <family val="2"/>
    </font>
    <font>
      <b/>
      <sz val="10"/>
      <color rgb="FF1F1F1F"/>
      <name val="Arial Nova"/>
      <family val="2"/>
    </font>
    <font>
      <sz val="11"/>
      <name val="Arial Nova"/>
      <family val="2"/>
    </font>
    <font>
      <b/>
      <sz val="10"/>
      <color theme="1"/>
      <name val="Arial Nova"/>
      <family val="2"/>
      <charset val="1"/>
    </font>
    <font>
      <sz val="10"/>
      <color theme="1"/>
      <name val="Arial Nova"/>
      <family val="2"/>
      <charset val="1"/>
    </font>
    <font>
      <sz val="10"/>
      <color theme="1" tint="0.499984740745262"/>
      <name val="Arial Nov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AF7"/>
        <bgColor rgb="FFDCE6F2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D9EA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1F1F1F"/>
      </patternFill>
    </fill>
    <fill>
      <patternFill patternType="solid">
        <fgColor theme="0"/>
        <bgColor rgb="FF17365D"/>
      </patternFill>
    </fill>
    <fill>
      <patternFill patternType="solid">
        <fgColor theme="0"/>
        <bgColor rgb="FFFCE4D6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7" fillId="5" borderId="0" xfId="0" applyFont="1" applyFill="1"/>
    <xf numFmtId="0" fontId="8" fillId="7" borderId="0" xfId="0" applyFont="1" applyFill="1" applyAlignment="1">
      <alignment vertical="center"/>
    </xf>
    <xf numFmtId="0" fontId="7" fillId="7" borderId="0" xfId="0" applyFont="1" applyFill="1"/>
    <xf numFmtId="1" fontId="7" fillId="7" borderId="0" xfId="0" applyNumberFormat="1" applyFont="1" applyFill="1"/>
    <xf numFmtId="0" fontId="9" fillId="8" borderId="2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top" wrapText="1"/>
    </xf>
    <xf numFmtId="0" fontId="6" fillId="5" borderId="0" xfId="0" applyFont="1" applyFill="1"/>
    <xf numFmtId="0" fontId="6" fillId="9" borderId="0" xfId="0" applyFont="1" applyFill="1"/>
    <xf numFmtId="0" fontId="9" fillId="5" borderId="0" xfId="0" applyFont="1" applyFill="1"/>
    <xf numFmtId="0" fontId="6" fillId="8" borderId="0" xfId="0" applyFont="1" applyFill="1" applyAlignment="1">
      <alignment vertical="center"/>
    </xf>
    <xf numFmtId="0" fontId="6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170" fontId="6" fillId="10" borderId="0" xfId="0" applyNumberFormat="1" applyFont="1" applyFill="1" applyAlignment="1">
      <alignment horizontal="center" vertical="center" wrapText="1"/>
    </xf>
    <xf numFmtId="168" fontId="6" fillId="10" borderId="0" xfId="0" applyNumberFormat="1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0" fillId="0" borderId="2" xfId="0" applyFont="1" applyFill="1" applyBorder="1" applyAlignment="1">
      <alignment horizontal="center" vertical="center" wrapText="1"/>
    </xf>
    <xf numFmtId="1" fontId="10" fillId="0" borderId="2" xfId="0" applyNumberFormat="1" applyFont="1" applyFill="1" applyBorder="1" applyAlignment="1">
      <alignment horizontal="center" vertical="center" wrapText="1"/>
    </xf>
    <xf numFmtId="0" fontId="10" fillId="0" borderId="0" xfId="0" applyFont="1" applyFill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10" fontId="13" fillId="2" borderId="1" xfId="0" applyNumberFormat="1" applyFont="1" applyFill="1" applyBorder="1" applyAlignment="1">
      <alignment horizontal="center"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164" fontId="10" fillId="4" borderId="0" xfId="0" applyNumberFormat="1" applyFont="1" applyFill="1" applyAlignment="1">
      <alignment horizontal="right" vertical="top"/>
    </xf>
    <xf numFmtId="0" fontId="10" fillId="4" borderId="0" xfId="0" applyFont="1" applyFill="1" applyAlignment="1">
      <alignment horizontal="left" vertical="top" wrapText="1"/>
    </xf>
    <xf numFmtId="10" fontId="10" fillId="4" borderId="0" xfId="0" applyNumberFormat="1" applyFont="1" applyFill="1" applyAlignment="1">
      <alignment horizontal="right" vertical="top"/>
    </xf>
    <xf numFmtId="165" fontId="10" fillId="4" borderId="0" xfId="0" applyNumberFormat="1" applyFont="1" applyFill="1" applyAlignment="1">
      <alignment horizontal="right" vertical="top"/>
    </xf>
    <xf numFmtId="165" fontId="10" fillId="5" borderId="0" xfId="0" applyNumberFormat="1" applyFont="1" applyFill="1" applyAlignment="1">
      <alignment horizontal="right" vertical="top"/>
    </xf>
    <xf numFmtId="165" fontId="10" fillId="5" borderId="0" xfId="0" applyNumberFormat="1" applyFont="1" applyFill="1" applyAlignment="1">
      <alignment horizontal="right" vertical="center"/>
    </xf>
    <xf numFmtId="166" fontId="10" fillId="5" borderId="0" xfId="0" applyNumberFormat="1" applyFont="1" applyFill="1" applyAlignment="1">
      <alignment horizontal="right" vertical="center"/>
    </xf>
    <xf numFmtId="167" fontId="10" fillId="5" borderId="0" xfId="0" applyNumberFormat="1" applyFont="1" applyFill="1" applyAlignment="1">
      <alignment horizontal="right" vertical="center"/>
    </xf>
    <xf numFmtId="168" fontId="10" fillId="5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center" vertical="center" wrapText="1"/>
    </xf>
    <xf numFmtId="10" fontId="11" fillId="0" borderId="0" xfId="0" applyNumberFormat="1" applyFont="1"/>
    <xf numFmtId="0" fontId="10" fillId="6" borderId="0" xfId="0" applyFont="1" applyFill="1" applyAlignment="1">
      <alignment horizontal="left" vertical="top" wrapText="1"/>
    </xf>
    <xf numFmtId="169" fontId="10" fillId="4" borderId="0" xfId="0" applyNumberFormat="1" applyFont="1" applyFill="1" applyAlignment="1">
      <alignment horizontal="right" vertical="top"/>
    </xf>
    <xf numFmtId="169" fontId="14" fillId="4" borderId="0" xfId="0" applyNumberFormat="1" applyFont="1" applyFill="1"/>
    <xf numFmtId="0" fontId="14" fillId="4" borderId="0" xfId="0" applyFont="1" applyFill="1"/>
    <xf numFmtId="165" fontId="14" fillId="4" borderId="0" xfId="0" applyNumberFormat="1" applyFont="1" applyFill="1"/>
    <xf numFmtId="0" fontId="14" fillId="5" borderId="0" xfId="0" applyFont="1" applyFill="1"/>
    <xf numFmtId="1" fontId="11" fillId="0" borderId="0" xfId="0" applyNumberFormat="1" applyFont="1"/>
    <xf numFmtId="0" fontId="15" fillId="0" borderId="0" xfId="0" applyFont="1" applyFill="1" applyBorder="1" applyAlignment="1">
      <alignment vertical="center" wrapText="1"/>
    </xf>
    <xf numFmtId="0" fontId="1" fillId="0" borderId="0" xfId="0" applyFont="1" applyFill="1" applyBorder="1"/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167" fontId="1" fillId="0" borderId="0" xfId="0" applyNumberFormat="1" applyFont="1" applyFill="1" applyBorder="1" applyAlignment="1">
      <alignment vertical="center" wrapText="1"/>
    </xf>
    <xf numFmtId="168" fontId="1" fillId="0" borderId="0" xfId="0" applyNumberFormat="1" applyFont="1" applyFill="1" applyBorder="1" applyAlignment="1">
      <alignment vertical="center" wrapText="1"/>
    </xf>
    <xf numFmtId="0" fontId="17" fillId="7" borderId="0" xfId="0" applyFont="1" applyFill="1" applyAlignment="1">
      <alignment horizontal="center" vertical="center"/>
    </xf>
    <xf numFmtId="1" fontId="10" fillId="5" borderId="0" xfId="0" applyNumberFormat="1" applyFont="1" applyFill="1" applyAlignment="1">
      <alignment horizontal="center" vertical="top"/>
    </xf>
    <xf numFmtId="1" fontId="10" fillId="3" borderId="0" xfId="0" applyNumberFormat="1" applyFont="1" applyFill="1" applyAlignment="1">
      <alignment horizontal="center" vertical="top"/>
    </xf>
    <xf numFmtId="1" fontId="14" fillId="3" borderId="0" xfId="0" applyNumberFormat="1" applyFont="1" applyFill="1" applyAlignment="1">
      <alignment horizontal="center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 Nova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5B9BD5"/>
      <rgbColor rgb="FF993366"/>
      <rgbColor rgb="FFFFF2CC"/>
      <rgbColor rgb="FFD9EAF7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F0D9"/>
      <rgbColor rgb="FFFCE4D6"/>
      <rgbColor rgb="FFF9F9F9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A6A6A6"/>
      <rgbColor rgb="FF17365D"/>
      <rgbColor rgb="FF339966"/>
      <rgbColor rgb="FF10243E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rial Nova"/>
              </a:rPr>
              <a:t>Resultado das avaliações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Resumo!$F$3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Resumo!$E$4:$E$6</c:f>
              <c:strCache>
                <c:ptCount val="3"/>
                <c:pt idx="0">
                  <c:v>Atendido</c:v>
                </c:pt>
                <c:pt idx="1">
                  <c:v>Não atendido</c:v>
                </c:pt>
                <c:pt idx="2">
                  <c:v>Revisar</c:v>
                </c:pt>
              </c:strCache>
            </c:strRef>
          </c:cat>
          <c:val>
            <c:numRef>
              <c:f>Resumo!$F$4:$F$6</c:f>
              <c:numCache>
                <c:formatCode>General</c:formatCode>
                <c:ptCount val="3"/>
                <c:pt idx="0">
                  <c:v>11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1-4E84-BDD3-A153E493D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9029"/>
        <c:axId val="53662324"/>
      </c:barChart>
      <c:catAx>
        <c:axId val="8149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Situação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 Nova"/>
              </a:defRPr>
            </a:pPr>
            <a:endParaRPr lang="en-US"/>
          </a:p>
        </c:txPr>
        <c:crossAx val="53662324"/>
        <c:crosses val="autoZero"/>
        <c:auto val="1"/>
        <c:lblAlgn val="ctr"/>
        <c:lblOffset val="100"/>
        <c:noMultiLvlLbl val="0"/>
      </c:catAx>
      <c:valAx>
        <c:axId val="53662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rial Nova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490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 Nova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18145</xdr:colOff>
      <xdr:row>10</xdr:row>
      <xdr:rowOff>45503</xdr:rowOff>
    </xdr:from>
    <xdr:to>
      <xdr:col>6</xdr:col>
      <xdr:colOff>473666</xdr:colOff>
      <xdr:row>24</xdr:row>
      <xdr:rowOff>24263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AvaliacaoSLA" displayName="tbAvaliacaoSLA" ref="A4:Q124" totalsRowShown="0" headerRowDxfId="7" dataDxfId="6">
  <autoFilter ref="A4:Q124" xr:uid="{00000000-0009-0000-0100-000001000000}"/>
  <tableColumns count="17">
    <tableColumn id="1" xr3:uid="{00000000-0010-0000-0000-000001000000}" name="Competência" dataDxfId="21"/>
    <tableColumn id="2" xr3:uid="{00000000-0010-0000-0000-000002000000}" name="ID" dataDxfId="20"/>
    <tableColumn id="3" xr3:uid="{00000000-0010-0000-0000-000003000000}" name="Sistema/serviço" dataDxfId="19"/>
    <tableColumn id="4" xr3:uid="{00000000-0010-0000-0000-000004000000}" name="Disponibilidade (Fornecedor)" dataDxfId="2"/>
    <tableColumn id="5" xr3:uid="{00000000-0010-0000-0000-000005000000}" name="HT (h)" dataDxfId="0"/>
    <tableColumn id="6" xr3:uid="{00000000-0010-0000-0000-000006000000}" name="HMP (h)" dataDxfId="1"/>
    <tableColumn id="7" xr3:uid="{00000000-0010-0000-0000-000007000000}" name="HIJ (h)" dataDxfId="18"/>
    <tableColumn id="8" xr3:uid="{00000000-0010-0000-0000-000008000000}" name="HFT (h)" dataDxfId="17"/>
    <tableColumn id="9" xr3:uid="{00000000-0010-0000-0000-000009000000}" name="Denominador (h)" dataDxfId="16"/>
    <tableColumn id="10" xr3:uid="{00000000-0010-0000-0000-00000A000000}" name="Numerador (h)" dataDxfId="15"/>
    <tableColumn id="11" xr3:uid="{00000000-0010-0000-0000-00000B000000}" name="Disponibilidade" dataDxfId="14"/>
    <tableColumn id="12" xr3:uid="{00000000-0010-0000-0000-00000C000000}" name="Meta" dataDxfId="13"/>
    <tableColumn id="13" xr3:uid="{00000000-0010-0000-0000-00000D000000}" name="Déficit (p.p.)" dataDxfId="12"/>
    <tableColumn id="14" xr3:uid="{00000000-0010-0000-0000-00000E000000}" name="Faixas de 0,1%" dataDxfId="11"/>
    <tableColumn id="15" xr3:uid="{00000000-0010-0000-0000-00000F000000}" name="Pontos" dataDxfId="10"/>
    <tableColumn id="16" xr3:uid="{00000000-0010-0000-0000-000010000000}" name="Resultado" dataDxfId="9"/>
    <tableColumn id="17" xr3:uid="{00000000-0010-0000-0000-000011000000}" name="Observações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showGridLines="0" zoomScale="95" zoomScaleNormal="95" workbookViewId="0">
      <pane ySplit="3" topLeftCell="A4" activePane="bottomLeft" state="frozen"/>
      <selection pane="bottomLeft" sqref="A1:XFD1"/>
    </sheetView>
  </sheetViews>
  <sheetFormatPr defaultColWidth="8.7109375" defaultRowHeight="14.25" x14ac:dyDescent="0.2"/>
  <cols>
    <col min="1" max="1" width="8.7109375" style="1" customWidth="1"/>
    <col min="2" max="2" width="30" style="1" customWidth="1"/>
    <col min="3" max="3" width="22" style="1" customWidth="1"/>
    <col min="4" max="4" width="20" style="1" customWidth="1"/>
    <col min="5" max="5" width="78" style="1" customWidth="1"/>
    <col min="6" max="16384" width="8.7109375" style="1"/>
  </cols>
  <sheetData>
    <row r="1" spans="1:17" ht="19.5" customHeight="1" x14ac:dyDescent="0.2">
      <c r="B1" s="2" t="s">
        <v>0</v>
      </c>
      <c r="C1" s="2"/>
      <c r="D1" s="3"/>
      <c r="E1" s="4"/>
      <c r="F1" s="3"/>
      <c r="G1" s="3"/>
      <c r="H1" s="3"/>
      <c r="I1" s="3"/>
      <c r="J1" s="3"/>
      <c r="K1" s="57" t="str">
        <f>"Período de vigência " &amp; TEXT('Avaliação SLA'!A5-DAY('Avaliação SLA'!A5)+1, "dd/mm/aaaa") &amp; " a " &amp; TEXT(EOMONTH('Avaliação SLA'!A5,0), "dd/mm/aaaa")</f>
        <v>Período de vigência 01/07/2026 a 31/07/2026</v>
      </c>
      <c r="L1" s="57"/>
      <c r="M1" s="57"/>
      <c r="N1" s="57"/>
      <c r="O1" s="57"/>
      <c r="P1" s="57"/>
      <c r="Q1" s="57"/>
    </row>
    <row r="3" spans="1:17" ht="24" customHeight="1" thickBot="1" x14ac:dyDescent="0.25">
      <c r="A3" s="5"/>
      <c r="B3" s="5" t="s">
        <v>35</v>
      </c>
      <c r="C3" s="19" t="s">
        <v>36</v>
      </c>
      <c r="D3" s="5" t="s">
        <v>37</v>
      </c>
      <c r="E3" s="5" t="s">
        <v>38</v>
      </c>
    </row>
    <row r="4" spans="1:17" ht="15" customHeight="1" x14ac:dyDescent="0.2">
      <c r="B4" s="6" t="s">
        <v>39</v>
      </c>
      <c r="C4" s="16">
        <v>0.995</v>
      </c>
      <c r="D4" s="7" t="s">
        <v>40</v>
      </c>
      <c r="E4" s="7" t="s">
        <v>41</v>
      </c>
    </row>
    <row r="5" spans="1:17" ht="15" customHeight="1" x14ac:dyDescent="0.2">
      <c r="B5" s="7" t="s">
        <v>42</v>
      </c>
      <c r="C5" s="16">
        <v>1E-3</v>
      </c>
      <c r="D5" s="7" t="s">
        <v>43</v>
      </c>
      <c r="E5" s="7" t="s">
        <v>44</v>
      </c>
    </row>
    <row r="6" spans="1:17" ht="15" customHeight="1" x14ac:dyDescent="0.2">
      <c r="B6" s="7" t="s">
        <v>45</v>
      </c>
      <c r="C6" s="17">
        <v>1000</v>
      </c>
      <c r="D6" s="7" t="s">
        <v>46</v>
      </c>
      <c r="E6" s="7" t="s">
        <v>47</v>
      </c>
    </row>
    <row r="7" spans="1:17" ht="26.25" customHeight="1" x14ac:dyDescent="0.2">
      <c r="B7" s="7" t="s">
        <v>48</v>
      </c>
      <c r="C7" s="18" t="s">
        <v>49</v>
      </c>
      <c r="D7" s="8"/>
      <c r="E7" s="7" t="s">
        <v>50</v>
      </c>
    </row>
    <row r="8" spans="1:17" ht="14.25" customHeight="1" x14ac:dyDescent="0.2">
      <c r="B8" s="9"/>
      <c r="C8" s="10"/>
    </row>
    <row r="9" spans="1:17" ht="14.25" customHeight="1" x14ac:dyDescent="0.2">
      <c r="B9" s="11"/>
    </row>
    <row r="10" spans="1:17" ht="15" customHeight="1" x14ac:dyDescent="0.2">
      <c r="B10" s="12" t="s">
        <v>51</v>
      </c>
      <c r="C10" s="12"/>
      <c r="D10" s="12"/>
      <c r="E10" s="12"/>
    </row>
    <row r="11" spans="1:17" ht="15" customHeight="1" x14ac:dyDescent="0.2">
      <c r="B11" s="13" t="s">
        <v>52</v>
      </c>
      <c r="C11" s="13"/>
      <c r="D11" s="13"/>
      <c r="E11" s="13"/>
    </row>
    <row r="12" spans="1:17" ht="14.25" customHeight="1" x14ac:dyDescent="0.2">
      <c r="B12" s="9"/>
    </row>
    <row r="13" spans="1:17" ht="15" customHeight="1" x14ac:dyDescent="0.2">
      <c r="B13" s="12" t="s">
        <v>53</v>
      </c>
      <c r="C13" s="12"/>
      <c r="D13" s="12"/>
      <c r="E13" s="12"/>
    </row>
    <row r="14" spans="1:17" ht="15" customHeight="1" x14ac:dyDescent="0.2">
      <c r="B14" s="14" t="s">
        <v>54</v>
      </c>
      <c r="C14" s="15" t="s">
        <v>55</v>
      </c>
      <c r="D14" s="15"/>
      <c r="E14" s="15"/>
    </row>
    <row r="15" spans="1:17" ht="15" customHeight="1" x14ac:dyDescent="0.2">
      <c r="B15" s="14" t="s">
        <v>56</v>
      </c>
      <c r="C15" s="15" t="s">
        <v>57</v>
      </c>
      <c r="D15" s="15"/>
      <c r="E15" s="15"/>
    </row>
    <row r="16" spans="1:17" ht="15" customHeight="1" x14ac:dyDescent="0.2">
      <c r="B16" s="14" t="s">
        <v>58</v>
      </c>
      <c r="C16" s="15" t="s">
        <v>59</v>
      </c>
      <c r="D16" s="15"/>
      <c r="E16" s="15"/>
    </row>
    <row r="17" spans="2:5" ht="15" customHeight="1" x14ac:dyDescent="0.2">
      <c r="B17" s="14" t="s">
        <v>60</v>
      </c>
      <c r="C17" s="15" t="s">
        <v>61</v>
      </c>
      <c r="D17" s="15"/>
      <c r="E17" s="15"/>
    </row>
  </sheetData>
  <mergeCells count="8">
    <mergeCell ref="C15:E15"/>
    <mergeCell ref="C16:E16"/>
    <mergeCell ref="C17:E17"/>
    <mergeCell ref="K1:Q1"/>
    <mergeCell ref="B10:E10"/>
    <mergeCell ref="B11:E11"/>
    <mergeCell ref="B13:E13"/>
    <mergeCell ref="C14:E14"/>
  </mergeCells>
  <dataValidations count="1">
    <dataValidation type="list" sqref="C7" xr:uid="{00000000-0002-0000-0100-000000000000}">
      <formula1>"INICIADA,COMPLETA"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4"/>
  <sheetViews>
    <sheetView showGridLines="0" tabSelected="1" zoomScaleNormal="100" workbookViewId="0">
      <pane ySplit="4" topLeftCell="A5" activePane="bottomLeft" state="frozen"/>
      <selection pane="bottomLeft" activeCell="Q4" sqref="Q4"/>
    </sheetView>
  </sheetViews>
  <sheetFormatPr defaultColWidth="8.7109375" defaultRowHeight="14.25" x14ac:dyDescent="0.2"/>
  <cols>
    <col min="1" max="2" width="12" style="24" customWidth="1"/>
    <col min="3" max="3" width="28" style="24" customWidth="1"/>
    <col min="4" max="4" width="17.7109375" style="48" customWidth="1"/>
    <col min="5" max="7" width="10" style="24" customWidth="1"/>
    <col min="8" max="8" width="14" style="24" customWidth="1"/>
    <col min="9" max="9" width="13" style="24" customWidth="1"/>
    <col min="10" max="10" width="15" style="24" customWidth="1"/>
    <col min="11" max="11" width="13.5703125" style="24" customWidth="1"/>
    <col min="12" max="13" width="13" style="24" customWidth="1"/>
    <col min="14" max="14" width="12" style="24" customWidth="1"/>
    <col min="15" max="15" width="16" style="24" customWidth="1"/>
    <col min="16" max="16" width="15" style="24" customWidth="1"/>
    <col min="17" max="17" width="20" style="24" customWidth="1"/>
    <col min="18" max="18" width="8.7109375" style="24"/>
    <col min="19" max="19" width="9.140625" style="24" hidden="1" customWidth="1"/>
    <col min="20" max="16384" width="8.7109375" style="24"/>
  </cols>
  <sheetData>
    <row r="1" spans="1:19" s="1" customFormat="1" ht="19.5" customHeight="1" x14ac:dyDescent="0.2">
      <c r="B1" s="2" t="s">
        <v>0</v>
      </c>
      <c r="C1" s="2"/>
      <c r="D1" s="3"/>
      <c r="E1" s="4"/>
      <c r="F1" s="3"/>
      <c r="G1" s="3"/>
      <c r="H1" s="3"/>
      <c r="I1" s="3"/>
      <c r="J1" s="3"/>
      <c r="K1" s="57" t="str">
        <f>"Período de vigência " &amp; TEXT('Avaliação SLA'!A5-DAY('Avaliação SLA'!A5)+1, "dd/mm/aaaa") &amp; " a " &amp; TEXT(EOMONTH('Avaliação SLA'!A5,0), "dd/mm/aaaa")</f>
        <v>Período de vigência 01/07/2026 a 31/07/2026</v>
      </c>
      <c r="L1" s="57"/>
      <c r="M1" s="57"/>
      <c r="N1" s="57"/>
      <c r="O1" s="57"/>
      <c r="P1" s="57"/>
      <c r="Q1" s="57"/>
    </row>
    <row r="2" spans="1:19" ht="18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9" ht="24" customHeight="1" x14ac:dyDescent="0.2">
      <c r="A3" s="26" t="s">
        <v>2</v>
      </c>
      <c r="B3" s="27"/>
      <c r="C3" s="26" t="str">
        <f>SUBTOTAL(103,C5:C124)&amp;" registros"</f>
        <v>15 registros</v>
      </c>
      <c r="D3" s="28">
        <f>IFERROR(SUBTOTAL(101,D5:D124),"")</f>
        <v>0.98987333333333338</v>
      </c>
      <c r="E3" s="29">
        <f t="shared" ref="E3:J3" si="0">SUBTOTAL(109,E5:E124)</f>
        <v>11160</v>
      </c>
      <c r="F3" s="29">
        <f t="shared" si="0"/>
        <v>0</v>
      </c>
      <c r="G3" s="29">
        <f t="shared" si="0"/>
        <v>0</v>
      </c>
      <c r="H3" s="29">
        <f t="shared" si="0"/>
        <v>11046.986400000002</v>
      </c>
      <c r="I3" s="29">
        <f t="shared" si="0"/>
        <v>11160</v>
      </c>
      <c r="J3" s="29">
        <f t="shared" si="0"/>
        <v>11046.986400000002</v>
      </c>
      <c r="K3" s="28">
        <f>IFERROR(J3/I3,"")</f>
        <v>0.98987333333333349</v>
      </c>
      <c r="L3" s="28">
        <f>IFERROR(SUBTOTAL(101,L5:L124),"")</f>
        <v>0.99499999999999966</v>
      </c>
      <c r="M3" s="28">
        <f>IF(K3="","",MAX(0,L3-K3))</f>
        <v>5.1266666666661687E-3</v>
      </c>
      <c r="N3" s="30">
        <f>SUBTOTAL(109,N5:N124)</f>
        <v>131</v>
      </c>
      <c r="O3" s="30">
        <f>SUBTOTAL(109,O5:O124)</f>
        <v>131000</v>
      </c>
      <c r="P3" s="27" t="str">
        <f>IF(K3="","",IF(K3&gt;=L3,"ATENDIDO","NÃO ATENDIDO"))</f>
        <v>NÃO ATENDIDO</v>
      </c>
      <c r="Q3" s="30"/>
    </row>
    <row r="4" spans="1:19" s="23" customFormat="1" ht="31.5" customHeight="1" x14ac:dyDescent="0.2">
      <c r="A4" s="21" t="s">
        <v>3</v>
      </c>
      <c r="B4" s="21" t="s">
        <v>4</v>
      </c>
      <c r="C4" s="21" t="s">
        <v>5</v>
      </c>
      <c r="D4" s="21" t="s">
        <v>6</v>
      </c>
      <c r="E4" s="22" t="s">
        <v>7</v>
      </c>
      <c r="F4" s="21" t="s">
        <v>8</v>
      </c>
      <c r="G4" s="21" t="s">
        <v>9</v>
      </c>
      <c r="H4" s="21" t="s">
        <v>10</v>
      </c>
      <c r="I4" s="21" t="s">
        <v>11</v>
      </c>
      <c r="J4" s="21" t="s">
        <v>12</v>
      </c>
      <c r="K4" s="21" t="s">
        <v>13</v>
      </c>
      <c r="L4" s="21" t="s">
        <v>14</v>
      </c>
      <c r="M4" s="21" t="s">
        <v>15</v>
      </c>
      <c r="N4" s="21" t="s">
        <v>16</v>
      </c>
      <c r="O4" s="21" t="s">
        <v>17</v>
      </c>
      <c r="P4" s="21" t="s">
        <v>18</v>
      </c>
      <c r="Q4" s="21" t="s">
        <v>19</v>
      </c>
    </row>
    <row r="5" spans="1:19" ht="15" customHeight="1" x14ac:dyDescent="0.2">
      <c r="A5" s="31">
        <v>46204</v>
      </c>
      <c r="B5" s="31"/>
      <c r="C5" s="32" t="s">
        <v>20</v>
      </c>
      <c r="D5" s="33">
        <f>99.99/100</f>
        <v>0.9998999999999999</v>
      </c>
      <c r="E5" s="58">
        <f>IF(tbAvaliacaoSLA[[#This Row],[Competência]]="","",DAY(EOMONTH(tbAvaliacaoSLA[[#This Row],[Competência]],0))*24)</f>
        <v>744</v>
      </c>
      <c r="F5" s="34">
        <v>0</v>
      </c>
      <c r="G5" s="34">
        <v>0</v>
      </c>
      <c r="H5" s="35">
        <f t="shared" ref="H5:H36" si="1">IF(OR(E5="",D5=""),"",E5*D5)</f>
        <v>743.92559999999992</v>
      </c>
      <c r="I5" s="36">
        <f t="shared" ref="I5:I33" si="2">IFERROR(IF(OR(E5="",F5="",G5=""),"",E5-F5-G5),"")</f>
        <v>744</v>
      </c>
      <c r="J5" s="36">
        <f t="shared" ref="J5:J36" si="3">IF(OR(H5="",F5="",G5=""),"",H5-F5-G5)</f>
        <v>743.92559999999992</v>
      </c>
      <c r="K5" s="37">
        <f t="shared" ref="K5:K36" si="4">IFERROR(J5/I5,"")</f>
        <v>0.9998999999999999</v>
      </c>
      <c r="L5" s="38">
        <f>IF(tbAvaliacaoSLA[[#This Row],[Competência]]="","",Parâmetros!$C$4)</f>
        <v>0.995</v>
      </c>
      <c r="M5" s="38">
        <f t="shared" ref="M5:M36" si="5">IF(K5="","",MAX(0,L5-K5))</f>
        <v>0</v>
      </c>
      <c r="N5" s="39">
        <f>IF(M5="","",IF(Parâmetros!$C$7="INICIADA",ROUNDUP(M5/Parâmetros!$C$5,0),ROUNDDOWN(M5/Parâmetros!$C$5,0)))</f>
        <v>0</v>
      </c>
      <c r="O5" s="39">
        <f>IF(N5="","",N5*Parâmetros!$C$6)</f>
        <v>0</v>
      </c>
      <c r="P5" s="40" t="str">
        <f t="shared" ref="P5:P36" si="6">IF(K5="","",IF(OR(I5&lt;=0,J5&lt;0,J5&gt;I5),"REVISAR DADOS",IF(K5&gt;=L5,"ATENDIDO","NÃO ATENDIDO")))</f>
        <v>ATENDIDO</v>
      </c>
      <c r="Q5" s="32"/>
      <c r="S5" s="41">
        <f>tbAvaliacaoSLA[[#This Row],[Disponibilidade (Fornecedor)]]</f>
        <v>0.9998999999999999</v>
      </c>
    </row>
    <row r="6" spans="1:19" ht="15" customHeight="1" x14ac:dyDescent="0.2">
      <c r="A6" s="31">
        <f>IF(OR(tbAvaliacaoSLA[[#This Row],[Sistema/serviço]]="",A5=0),"",A5)</f>
        <v>46204</v>
      </c>
      <c r="B6" s="31"/>
      <c r="C6" s="32" t="s">
        <v>21</v>
      </c>
      <c r="D6" s="33">
        <f>98.68/100</f>
        <v>0.98680000000000012</v>
      </c>
      <c r="E6" s="58">
        <f>IF(tbAvaliacaoSLA[[#This Row],[Competência]]="","",DAY(EOMONTH(tbAvaliacaoSLA[[#This Row],[Competência]],0))*24)</f>
        <v>744</v>
      </c>
      <c r="F6" s="34">
        <v>0</v>
      </c>
      <c r="G6" s="34">
        <v>0</v>
      </c>
      <c r="H6" s="35">
        <f t="shared" si="1"/>
        <v>734.17920000000004</v>
      </c>
      <c r="I6" s="36">
        <f t="shared" si="2"/>
        <v>744</v>
      </c>
      <c r="J6" s="36">
        <f t="shared" si="3"/>
        <v>734.17920000000004</v>
      </c>
      <c r="K6" s="37">
        <f t="shared" si="4"/>
        <v>0.98680000000000001</v>
      </c>
      <c r="L6" s="38">
        <f>IF(tbAvaliacaoSLA[[#This Row],[Competência]]="","",Parâmetros!$C$4)</f>
        <v>0.995</v>
      </c>
      <c r="M6" s="38">
        <f t="shared" si="5"/>
        <v>8.1999999999999851E-3</v>
      </c>
      <c r="N6" s="39">
        <f>IF(M6="","",IF(Parâmetros!$C$7="INICIADA",ROUNDUP(M6/Parâmetros!$C$5,0),ROUNDDOWN(M6/Parâmetros!$C$5,0)))</f>
        <v>9</v>
      </c>
      <c r="O6" s="39">
        <f>IF(N6="","",N6*Parâmetros!$C$6)</f>
        <v>9000</v>
      </c>
      <c r="P6" s="40" t="str">
        <f t="shared" si="6"/>
        <v>NÃO ATENDIDO</v>
      </c>
      <c r="Q6" s="42"/>
      <c r="S6" s="41">
        <f>tbAvaliacaoSLA[[#This Row],[Disponibilidade (Fornecedor)]]</f>
        <v>0.98680000000000012</v>
      </c>
    </row>
    <row r="7" spans="1:19" ht="15" customHeight="1" x14ac:dyDescent="0.2">
      <c r="A7" s="31">
        <f>IF(OR(tbAvaliacaoSLA[[#This Row],[Sistema/serviço]]="",A6=0),"",A6)</f>
        <v>46204</v>
      </c>
      <c r="B7" s="31"/>
      <c r="C7" s="32" t="s">
        <v>22</v>
      </c>
      <c r="D7" s="33">
        <f>100/100</f>
        <v>1</v>
      </c>
      <c r="E7" s="58">
        <f>IF(tbAvaliacaoSLA[[#This Row],[Competência]]="","",DAY(EOMONTH(tbAvaliacaoSLA[[#This Row],[Competência]],0))*24)</f>
        <v>744</v>
      </c>
      <c r="F7" s="34">
        <v>0</v>
      </c>
      <c r="G7" s="34">
        <v>0</v>
      </c>
      <c r="H7" s="35">
        <f t="shared" si="1"/>
        <v>744</v>
      </c>
      <c r="I7" s="36">
        <f t="shared" si="2"/>
        <v>744</v>
      </c>
      <c r="J7" s="36">
        <f t="shared" si="3"/>
        <v>744</v>
      </c>
      <c r="K7" s="37">
        <f t="shared" si="4"/>
        <v>1</v>
      </c>
      <c r="L7" s="38">
        <f>IF(tbAvaliacaoSLA[[#This Row],[Competência]]="","",Parâmetros!$C$4)</f>
        <v>0.995</v>
      </c>
      <c r="M7" s="38">
        <f t="shared" si="5"/>
        <v>0</v>
      </c>
      <c r="N7" s="39">
        <f>IF(M7="","",IF(Parâmetros!$C$7="INICIADA",ROUNDUP(M7/Parâmetros!$C$5,0),ROUNDDOWN(M7/Parâmetros!$C$5,0)))</f>
        <v>0</v>
      </c>
      <c r="O7" s="39">
        <f>IF(N7="","",N7*Parâmetros!$C$6)</f>
        <v>0</v>
      </c>
      <c r="P7" s="40" t="str">
        <f t="shared" si="6"/>
        <v>ATENDIDO</v>
      </c>
      <c r="Q7" s="32"/>
      <c r="S7" s="41">
        <f>tbAvaliacaoSLA[[#This Row],[Disponibilidade (Fornecedor)]]</f>
        <v>1</v>
      </c>
    </row>
    <row r="8" spans="1:19" ht="15" customHeight="1" x14ac:dyDescent="0.2">
      <c r="A8" s="31">
        <f>IF(OR(tbAvaliacaoSLA[[#This Row],[Sistema/serviço]]="",A7=0),"",A7)</f>
        <v>46204</v>
      </c>
      <c r="B8" s="31"/>
      <c r="C8" s="32" t="s">
        <v>23</v>
      </c>
      <c r="D8" s="33">
        <f>99.94/100</f>
        <v>0.99939999999999996</v>
      </c>
      <c r="E8" s="58">
        <f>IF(tbAvaliacaoSLA[[#This Row],[Competência]]="","",DAY(EOMONTH(tbAvaliacaoSLA[[#This Row],[Competência]],0))*24)</f>
        <v>744</v>
      </c>
      <c r="F8" s="34">
        <v>0</v>
      </c>
      <c r="G8" s="34">
        <v>0</v>
      </c>
      <c r="H8" s="35">
        <f t="shared" si="1"/>
        <v>743.55359999999996</v>
      </c>
      <c r="I8" s="36">
        <f t="shared" si="2"/>
        <v>744</v>
      </c>
      <c r="J8" s="36">
        <f t="shared" si="3"/>
        <v>743.55359999999996</v>
      </c>
      <c r="K8" s="37">
        <f t="shared" si="4"/>
        <v>0.99939999999999996</v>
      </c>
      <c r="L8" s="38">
        <f>IF(tbAvaliacaoSLA[[#This Row],[Competência]]="","",Parâmetros!$C$4)</f>
        <v>0.995</v>
      </c>
      <c r="M8" s="38">
        <f t="shared" si="5"/>
        <v>0</v>
      </c>
      <c r="N8" s="39">
        <f>IF(M8="","",IF(Parâmetros!$C$7="INICIADA",ROUNDUP(M8/Parâmetros!$C$5,0),ROUNDDOWN(M8/Parâmetros!$C$5,0)))</f>
        <v>0</v>
      </c>
      <c r="O8" s="39">
        <f>IF(N8="","",N8*Parâmetros!$C$6)</f>
        <v>0</v>
      </c>
      <c r="P8" s="40" t="str">
        <f t="shared" si="6"/>
        <v>ATENDIDO</v>
      </c>
      <c r="Q8" s="42"/>
      <c r="S8" s="41">
        <f>tbAvaliacaoSLA[[#This Row],[Disponibilidade (Fornecedor)]]</f>
        <v>0.99939999999999996</v>
      </c>
    </row>
    <row r="9" spans="1:19" ht="15" customHeight="1" x14ac:dyDescent="0.2">
      <c r="A9" s="31">
        <f>IF(OR(tbAvaliacaoSLA[[#This Row],[Sistema/serviço]]="",A8=0),"",A8)</f>
        <v>46204</v>
      </c>
      <c r="B9" s="31"/>
      <c r="C9" s="32" t="s">
        <v>24</v>
      </c>
      <c r="D9" s="33">
        <f>99.94/100</f>
        <v>0.99939999999999996</v>
      </c>
      <c r="E9" s="58">
        <f>IF(tbAvaliacaoSLA[[#This Row],[Competência]]="","",DAY(EOMONTH(tbAvaliacaoSLA[[#This Row],[Competência]],0))*24)</f>
        <v>744</v>
      </c>
      <c r="F9" s="34">
        <v>0</v>
      </c>
      <c r="G9" s="34">
        <v>0</v>
      </c>
      <c r="H9" s="35">
        <f t="shared" si="1"/>
        <v>743.55359999999996</v>
      </c>
      <c r="I9" s="36">
        <f t="shared" si="2"/>
        <v>744</v>
      </c>
      <c r="J9" s="36">
        <f t="shared" si="3"/>
        <v>743.55359999999996</v>
      </c>
      <c r="K9" s="37">
        <f t="shared" si="4"/>
        <v>0.99939999999999996</v>
      </c>
      <c r="L9" s="38">
        <f>IF(tbAvaliacaoSLA[[#This Row],[Competência]]="","",Parâmetros!$C$4)</f>
        <v>0.995</v>
      </c>
      <c r="M9" s="38">
        <f t="shared" si="5"/>
        <v>0</v>
      </c>
      <c r="N9" s="39">
        <f>IF(M9="","",IF(Parâmetros!$C$7="INICIADA",ROUNDUP(M9/Parâmetros!$C$5,0),ROUNDDOWN(M9/Parâmetros!$C$5,0)))</f>
        <v>0</v>
      </c>
      <c r="O9" s="39">
        <f>IF(N9="","",N9*Parâmetros!$C$6)</f>
        <v>0</v>
      </c>
      <c r="P9" s="40" t="str">
        <f t="shared" si="6"/>
        <v>ATENDIDO</v>
      </c>
      <c r="Q9" s="32"/>
      <c r="S9" s="41">
        <f>tbAvaliacaoSLA[[#This Row],[Disponibilidade (Fornecedor)]]</f>
        <v>0.99939999999999996</v>
      </c>
    </row>
    <row r="10" spans="1:19" ht="15" customHeight="1" x14ac:dyDescent="0.2">
      <c r="A10" s="31">
        <f>IF(OR(tbAvaliacaoSLA[[#This Row],[Sistema/serviço]]="",A9=0),"",A9)</f>
        <v>46204</v>
      </c>
      <c r="B10" s="31"/>
      <c r="C10" s="32" t="s">
        <v>25</v>
      </c>
      <c r="D10" s="33">
        <f>98.64/100</f>
        <v>0.98640000000000005</v>
      </c>
      <c r="E10" s="58">
        <f>IF(tbAvaliacaoSLA[[#This Row],[Competência]]="","",DAY(EOMONTH(tbAvaliacaoSLA[[#This Row],[Competência]],0))*24)</f>
        <v>744</v>
      </c>
      <c r="F10" s="34">
        <v>0</v>
      </c>
      <c r="G10" s="34">
        <v>0</v>
      </c>
      <c r="H10" s="35">
        <f t="shared" si="1"/>
        <v>733.88160000000005</v>
      </c>
      <c r="I10" s="36">
        <f t="shared" si="2"/>
        <v>744</v>
      </c>
      <c r="J10" s="36">
        <f t="shared" si="3"/>
        <v>733.88160000000005</v>
      </c>
      <c r="K10" s="37">
        <f t="shared" si="4"/>
        <v>0.98640000000000005</v>
      </c>
      <c r="L10" s="38">
        <f>IF(tbAvaliacaoSLA[[#This Row],[Competência]]="","",Parâmetros!$C$4)</f>
        <v>0.995</v>
      </c>
      <c r="M10" s="38">
        <f t="shared" si="5"/>
        <v>8.599999999999941E-3</v>
      </c>
      <c r="N10" s="39">
        <f>IF(M10="","",IF(Parâmetros!$C$7="INICIADA",ROUNDUP(M10/Parâmetros!$C$5,0),ROUNDDOWN(M10/Parâmetros!$C$5,0)))</f>
        <v>9</v>
      </c>
      <c r="O10" s="39">
        <f>IF(N10="","",N10*Parâmetros!$C$6)</f>
        <v>9000</v>
      </c>
      <c r="P10" s="40" t="str">
        <f t="shared" si="6"/>
        <v>NÃO ATENDIDO</v>
      </c>
      <c r="Q10" s="42"/>
      <c r="S10" s="41">
        <f>tbAvaliacaoSLA[[#This Row],[Disponibilidade (Fornecedor)]]</f>
        <v>0.98640000000000005</v>
      </c>
    </row>
    <row r="11" spans="1:19" ht="15" customHeight="1" x14ac:dyDescent="0.2">
      <c r="A11" s="31">
        <f>IF(OR(tbAvaliacaoSLA[[#This Row],[Sistema/serviço]]="",A10=0),"",A10)</f>
        <v>46204</v>
      </c>
      <c r="B11" s="31"/>
      <c r="C11" s="32" t="s">
        <v>26</v>
      </c>
      <c r="D11" s="33">
        <v>0.99939999999999996</v>
      </c>
      <c r="E11" s="58">
        <f>IF(tbAvaliacaoSLA[[#This Row],[Competência]]="","",DAY(EOMONTH(tbAvaliacaoSLA[[#This Row],[Competência]],0))*24)</f>
        <v>744</v>
      </c>
      <c r="F11" s="34">
        <v>0</v>
      </c>
      <c r="G11" s="34">
        <v>0</v>
      </c>
      <c r="H11" s="35">
        <f t="shared" si="1"/>
        <v>743.55359999999996</v>
      </c>
      <c r="I11" s="36">
        <f t="shared" si="2"/>
        <v>744</v>
      </c>
      <c r="J11" s="36">
        <f t="shared" si="3"/>
        <v>743.55359999999996</v>
      </c>
      <c r="K11" s="37">
        <f t="shared" si="4"/>
        <v>0.99939999999999996</v>
      </c>
      <c r="L11" s="38">
        <f>IF(tbAvaliacaoSLA[[#This Row],[Competência]]="","",Parâmetros!$C$4)</f>
        <v>0.995</v>
      </c>
      <c r="M11" s="38">
        <f t="shared" si="5"/>
        <v>0</v>
      </c>
      <c r="N11" s="39">
        <f>IF(M11="","",IF(Parâmetros!$C$7="INICIADA",ROUNDUP(M11/Parâmetros!$C$5,0),ROUNDDOWN(M11/Parâmetros!$C$5,0)))</f>
        <v>0</v>
      </c>
      <c r="O11" s="39">
        <f>IF(N11="","",N11*Parâmetros!$C$6)</f>
        <v>0</v>
      </c>
      <c r="P11" s="40" t="str">
        <f t="shared" si="6"/>
        <v>ATENDIDO</v>
      </c>
      <c r="Q11" s="32"/>
      <c r="S11" s="41">
        <f>tbAvaliacaoSLA[[#This Row],[Disponibilidade (Fornecedor)]]</f>
        <v>0.99939999999999996</v>
      </c>
    </row>
    <row r="12" spans="1:19" ht="15" customHeight="1" x14ac:dyDescent="0.2">
      <c r="A12" s="31">
        <f>IF(OR(tbAvaliacaoSLA[[#This Row],[Sistema/serviço]]="",A11=0),"",A11)</f>
        <v>46204</v>
      </c>
      <c r="B12" s="31"/>
      <c r="C12" s="32" t="s">
        <v>27</v>
      </c>
      <c r="D12" s="33">
        <v>0.99980000000000002</v>
      </c>
      <c r="E12" s="58">
        <f>IF(tbAvaliacaoSLA[[#This Row],[Competência]]="","",DAY(EOMONTH(tbAvaliacaoSLA[[#This Row],[Competência]],0))*24)</f>
        <v>744</v>
      </c>
      <c r="F12" s="34">
        <v>0</v>
      </c>
      <c r="G12" s="34">
        <v>0</v>
      </c>
      <c r="H12" s="35">
        <f t="shared" si="1"/>
        <v>743.85120000000006</v>
      </c>
      <c r="I12" s="36">
        <f t="shared" si="2"/>
        <v>744</v>
      </c>
      <c r="J12" s="36">
        <f t="shared" si="3"/>
        <v>743.85120000000006</v>
      </c>
      <c r="K12" s="37">
        <f t="shared" si="4"/>
        <v>0.99980000000000013</v>
      </c>
      <c r="L12" s="38">
        <f>IF(tbAvaliacaoSLA[[#This Row],[Competência]]="","",Parâmetros!$C$4)</f>
        <v>0.995</v>
      </c>
      <c r="M12" s="38">
        <f t="shared" si="5"/>
        <v>0</v>
      </c>
      <c r="N12" s="39">
        <f>IF(M12="","",IF(Parâmetros!$C$7="INICIADA",ROUNDUP(M12/Parâmetros!$C$5,0),ROUNDDOWN(M12/Parâmetros!$C$5,0)))</f>
        <v>0</v>
      </c>
      <c r="O12" s="39">
        <f>IF(N12="","",N12*Parâmetros!$C$6)</f>
        <v>0</v>
      </c>
      <c r="P12" s="40" t="str">
        <f t="shared" si="6"/>
        <v>ATENDIDO</v>
      </c>
      <c r="Q12" s="42"/>
      <c r="S12" s="41">
        <f>tbAvaliacaoSLA[[#This Row],[Disponibilidade (Fornecedor)]]</f>
        <v>0.99980000000000002</v>
      </c>
    </row>
    <row r="13" spans="1:19" ht="15" customHeight="1" x14ac:dyDescent="0.2">
      <c r="A13" s="31">
        <f>IF(OR(tbAvaliacaoSLA[[#This Row],[Sistema/serviço]]="",A12=0),"",A12)</f>
        <v>46204</v>
      </c>
      <c r="B13" s="31"/>
      <c r="C13" s="32" t="s">
        <v>28</v>
      </c>
      <c r="D13" s="33">
        <v>0.91039999999999999</v>
      </c>
      <c r="E13" s="58">
        <f>IF(tbAvaliacaoSLA[[#This Row],[Competência]]="","",DAY(EOMONTH(tbAvaliacaoSLA[[#This Row],[Competência]],0))*24)</f>
        <v>744</v>
      </c>
      <c r="F13" s="34">
        <v>0</v>
      </c>
      <c r="G13" s="34">
        <v>0</v>
      </c>
      <c r="H13" s="35">
        <f t="shared" si="1"/>
        <v>677.33759999999995</v>
      </c>
      <c r="I13" s="36">
        <f t="shared" si="2"/>
        <v>744</v>
      </c>
      <c r="J13" s="36">
        <f t="shared" si="3"/>
        <v>677.33759999999995</v>
      </c>
      <c r="K13" s="37">
        <f t="shared" si="4"/>
        <v>0.91039999999999999</v>
      </c>
      <c r="L13" s="38">
        <f>IF(tbAvaliacaoSLA[[#This Row],[Competência]]="","",Parâmetros!$C$4)</f>
        <v>0.995</v>
      </c>
      <c r="M13" s="38">
        <f t="shared" si="5"/>
        <v>8.4600000000000009E-2</v>
      </c>
      <c r="N13" s="39">
        <f>IF(M13="","",IF(Parâmetros!$C$7="INICIADA",ROUNDUP(M13/Parâmetros!$C$5,0),ROUNDDOWN(M13/Parâmetros!$C$5,0)))</f>
        <v>85</v>
      </c>
      <c r="O13" s="39">
        <f>IF(N13="","",N13*Parâmetros!$C$6)</f>
        <v>85000</v>
      </c>
      <c r="P13" s="40" t="str">
        <f t="shared" si="6"/>
        <v>NÃO ATENDIDO</v>
      </c>
      <c r="Q13" s="32"/>
      <c r="S13" s="41">
        <f>tbAvaliacaoSLA[[#This Row],[Disponibilidade (Fornecedor)]]</f>
        <v>0.91039999999999999</v>
      </c>
    </row>
    <row r="14" spans="1:19" ht="15" customHeight="1" x14ac:dyDescent="0.2">
      <c r="A14" s="31">
        <f>IF(OR(tbAvaliacaoSLA[[#This Row],[Sistema/serviço]]="",A13=0),"",A13)</f>
        <v>46204</v>
      </c>
      <c r="B14" s="31"/>
      <c r="C14" s="32" t="s">
        <v>29</v>
      </c>
      <c r="D14" s="33">
        <v>0.96699999999999997</v>
      </c>
      <c r="E14" s="58">
        <f>IF(tbAvaliacaoSLA[[#This Row],[Competência]]="","",DAY(EOMONTH(tbAvaliacaoSLA[[#This Row],[Competência]],0))*24)</f>
        <v>744</v>
      </c>
      <c r="F14" s="34">
        <v>0</v>
      </c>
      <c r="G14" s="34">
        <v>0</v>
      </c>
      <c r="H14" s="35">
        <f t="shared" si="1"/>
        <v>719.44799999999998</v>
      </c>
      <c r="I14" s="36">
        <f t="shared" si="2"/>
        <v>744</v>
      </c>
      <c r="J14" s="36">
        <f t="shared" si="3"/>
        <v>719.44799999999998</v>
      </c>
      <c r="K14" s="38">
        <f t="shared" si="4"/>
        <v>0.96699999999999997</v>
      </c>
      <c r="L14" s="38">
        <f>IF(tbAvaliacaoSLA[[#This Row],[Competência]]="","",Parâmetros!$C$4)</f>
        <v>0.995</v>
      </c>
      <c r="M14" s="38">
        <f t="shared" si="5"/>
        <v>2.8000000000000025E-2</v>
      </c>
      <c r="N14" s="39">
        <f>IF(M14="","",IF(Parâmetros!$C$7="INICIADA",ROUNDUP(M14/Parâmetros!$C$5,0),ROUNDDOWN(M14/Parâmetros!$C$5,0)))</f>
        <v>28</v>
      </c>
      <c r="O14" s="39">
        <f>IF(N14="","",N14*Parâmetros!$C$6)</f>
        <v>28000</v>
      </c>
      <c r="P14" s="40" t="str">
        <f t="shared" si="6"/>
        <v>NÃO ATENDIDO</v>
      </c>
      <c r="Q14" s="42"/>
      <c r="S14" s="41">
        <f>tbAvaliacaoSLA[[#This Row],[Disponibilidade (Fornecedor)]]</f>
        <v>0.96699999999999997</v>
      </c>
    </row>
    <row r="15" spans="1:19" ht="15" customHeight="1" x14ac:dyDescent="0.2">
      <c r="A15" s="31">
        <f>IF(OR(tbAvaliacaoSLA[[#This Row],[Sistema/serviço]]="",A14=0),"",A14)</f>
        <v>46204</v>
      </c>
      <c r="B15" s="31"/>
      <c r="C15" s="32" t="s">
        <v>30</v>
      </c>
      <c r="D15" s="33">
        <f>99.98/100</f>
        <v>0.99980000000000002</v>
      </c>
      <c r="E15" s="58">
        <f>IF(tbAvaliacaoSLA[[#This Row],[Competência]]="","",DAY(EOMONTH(tbAvaliacaoSLA[[#This Row],[Competência]],0))*24)</f>
        <v>744</v>
      </c>
      <c r="F15" s="34">
        <v>0</v>
      </c>
      <c r="G15" s="34">
        <v>0</v>
      </c>
      <c r="H15" s="35">
        <f t="shared" si="1"/>
        <v>743.85120000000006</v>
      </c>
      <c r="I15" s="36">
        <f t="shared" si="2"/>
        <v>744</v>
      </c>
      <c r="J15" s="36">
        <f t="shared" si="3"/>
        <v>743.85120000000006</v>
      </c>
      <c r="K15" s="38">
        <f t="shared" si="4"/>
        <v>0.99980000000000013</v>
      </c>
      <c r="L15" s="38">
        <f>IF(tbAvaliacaoSLA[[#This Row],[Competência]]="","",Parâmetros!$C$4)</f>
        <v>0.995</v>
      </c>
      <c r="M15" s="38">
        <f t="shared" si="5"/>
        <v>0</v>
      </c>
      <c r="N15" s="39">
        <f>IF(M15="","",IF(Parâmetros!$C$7="INICIADA",ROUNDUP(M15/Parâmetros!$C$5,0),ROUNDDOWN(M15/Parâmetros!$C$5,0)))</f>
        <v>0</v>
      </c>
      <c r="O15" s="39">
        <f>IF(N15="","",N15*Parâmetros!$C$6)</f>
        <v>0</v>
      </c>
      <c r="P15" s="40" t="str">
        <f t="shared" si="6"/>
        <v>ATENDIDO</v>
      </c>
      <c r="Q15" s="32"/>
      <c r="S15" s="41">
        <f>tbAvaliacaoSLA[[#This Row],[Disponibilidade (Fornecedor)]]</f>
        <v>0.99980000000000002</v>
      </c>
    </row>
    <row r="16" spans="1:19" ht="15" customHeight="1" x14ac:dyDescent="0.2">
      <c r="A16" s="31">
        <f>IF(OR(tbAvaliacaoSLA[[#This Row],[Sistema/serviço]]="",A15=0),"",A15)</f>
        <v>46204</v>
      </c>
      <c r="B16" s="31"/>
      <c r="C16" s="32" t="s">
        <v>31</v>
      </c>
      <c r="D16" s="33">
        <f>1</f>
        <v>1</v>
      </c>
      <c r="E16" s="58">
        <f>IF(tbAvaliacaoSLA[[#This Row],[Competência]]="","",DAY(EOMONTH(tbAvaliacaoSLA[[#This Row],[Competência]],0))*24)</f>
        <v>744</v>
      </c>
      <c r="F16" s="34">
        <v>0</v>
      </c>
      <c r="G16" s="34">
        <v>0</v>
      </c>
      <c r="H16" s="35">
        <f t="shared" si="1"/>
        <v>744</v>
      </c>
      <c r="I16" s="36">
        <f t="shared" si="2"/>
        <v>744</v>
      </c>
      <c r="J16" s="36">
        <f t="shared" si="3"/>
        <v>744</v>
      </c>
      <c r="K16" s="38">
        <f t="shared" si="4"/>
        <v>1</v>
      </c>
      <c r="L16" s="38">
        <f>IF(tbAvaliacaoSLA[[#This Row],[Competência]]="","",Parâmetros!$C$4)</f>
        <v>0.995</v>
      </c>
      <c r="M16" s="38">
        <f t="shared" si="5"/>
        <v>0</v>
      </c>
      <c r="N16" s="39">
        <f>IF(M16="","",IF(Parâmetros!$C$7="INICIADA",ROUNDUP(M16/Parâmetros!$C$5,0),ROUNDDOWN(M16/Parâmetros!$C$5,0)))</f>
        <v>0</v>
      </c>
      <c r="O16" s="39">
        <f>IF(N16="","",N16*Parâmetros!$C$6)</f>
        <v>0</v>
      </c>
      <c r="P16" s="40" t="str">
        <f t="shared" si="6"/>
        <v>ATENDIDO</v>
      </c>
      <c r="Q16" s="42"/>
      <c r="S16" s="41">
        <f>tbAvaliacaoSLA[[#This Row],[Disponibilidade (Fornecedor)]]</f>
        <v>1</v>
      </c>
    </row>
    <row r="17" spans="1:19" ht="15" customHeight="1" x14ac:dyDescent="0.2">
      <c r="A17" s="31">
        <f>IF(OR(tbAvaliacaoSLA[[#This Row],[Sistema/serviço]]="",A16=0),"",A16)</f>
        <v>46204</v>
      </c>
      <c r="B17" s="31"/>
      <c r="C17" s="32" t="s">
        <v>32</v>
      </c>
      <c r="D17" s="33">
        <f>1</f>
        <v>1</v>
      </c>
      <c r="E17" s="58">
        <f>IF(tbAvaliacaoSLA[[#This Row],[Competência]]="","",DAY(EOMONTH(tbAvaliacaoSLA[[#This Row],[Competência]],0))*24)</f>
        <v>744</v>
      </c>
      <c r="F17" s="34">
        <v>0</v>
      </c>
      <c r="G17" s="34">
        <v>0</v>
      </c>
      <c r="H17" s="35">
        <f t="shared" si="1"/>
        <v>744</v>
      </c>
      <c r="I17" s="36">
        <f t="shared" si="2"/>
        <v>744</v>
      </c>
      <c r="J17" s="36">
        <f t="shared" si="3"/>
        <v>744</v>
      </c>
      <c r="K17" s="38">
        <f t="shared" si="4"/>
        <v>1</v>
      </c>
      <c r="L17" s="38">
        <f>IF(tbAvaliacaoSLA[[#This Row],[Competência]]="","",Parâmetros!$C$4)</f>
        <v>0.995</v>
      </c>
      <c r="M17" s="38">
        <f t="shared" si="5"/>
        <v>0</v>
      </c>
      <c r="N17" s="39">
        <f>IF(M17="","",IF(Parâmetros!$C$7="INICIADA",ROUNDUP(M17/Parâmetros!$C$5,0),ROUNDDOWN(M17/Parâmetros!$C$5,0)))</f>
        <v>0</v>
      </c>
      <c r="O17" s="39">
        <f>IF(N17="","",N17*Parâmetros!$C$6)</f>
        <v>0</v>
      </c>
      <c r="P17" s="40" t="str">
        <f t="shared" si="6"/>
        <v>ATENDIDO</v>
      </c>
      <c r="Q17" s="32"/>
      <c r="S17" s="41">
        <f>tbAvaliacaoSLA[[#This Row],[Disponibilidade (Fornecedor)]]</f>
        <v>1</v>
      </c>
    </row>
    <row r="18" spans="1:19" ht="15" customHeight="1" x14ac:dyDescent="0.2">
      <c r="A18" s="31">
        <f>IF(OR(tbAvaliacaoSLA[[#This Row],[Sistema/serviço]]="",A17=0),"",A17)</f>
        <v>46204</v>
      </c>
      <c r="B18" s="31"/>
      <c r="C18" s="32" t="s">
        <v>33</v>
      </c>
      <c r="D18" s="33">
        <f>99.98/100</f>
        <v>0.99980000000000002</v>
      </c>
      <c r="E18" s="58">
        <f>IF(tbAvaliacaoSLA[[#This Row],[Competência]]="","",DAY(EOMONTH(tbAvaliacaoSLA[[#This Row],[Competência]],0))*24)</f>
        <v>744</v>
      </c>
      <c r="F18" s="34">
        <v>0</v>
      </c>
      <c r="G18" s="34">
        <v>0</v>
      </c>
      <c r="H18" s="35">
        <f t="shared" si="1"/>
        <v>743.85120000000006</v>
      </c>
      <c r="I18" s="36">
        <f t="shared" si="2"/>
        <v>744</v>
      </c>
      <c r="J18" s="36">
        <f t="shared" si="3"/>
        <v>743.85120000000006</v>
      </c>
      <c r="K18" s="38">
        <f t="shared" si="4"/>
        <v>0.99980000000000013</v>
      </c>
      <c r="L18" s="38">
        <f>IF(tbAvaliacaoSLA[[#This Row],[Competência]]="","",Parâmetros!$C$4)</f>
        <v>0.995</v>
      </c>
      <c r="M18" s="38">
        <f t="shared" si="5"/>
        <v>0</v>
      </c>
      <c r="N18" s="39">
        <f>IF(M18="","",IF(Parâmetros!$C$7="INICIADA",ROUNDUP(M18/Parâmetros!$C$5,0),ROUNDDOWN(M18/Parâmetros!$C$5,0)))</f>
        <v>0</v>
      </c>
      <c r="O18" s="39">
        <f>IF(N18="","",N18*Parâmetros!$C$6)</f>
        <v>0</v>
      </c>
      <c r="P18" s="40" t="str">
        <f t="shared" si="6"/>
        <v>ATENDIDO</v>
      </c>
      <c r="Q18" s="42"/>
      <c r="S18" s="41">
        <f>tbAvaliacaoSLA[[#This Row],[Disponibilidade (Fornecedor)]]</f>
        <v>0.99980000000000002</v>
      </c>
    </row>
    <row r="19" spans="1:19" ht="15" customHeight="1" x14ac:dyDescent="0.2">
      <c r="A19" s="31">
        <f>IF(OR(tbAvaliacaoSLA[[#This Row],[Sistema/serviço]]="",A18=0),"",A18)</f>
        <v>46204</v>
      </c>
      <c r="B19" s="31"/>
      <c r="C19" s="32" t="s">
        <v>34</v>
      </c>
      <c r="D19" s="33">
        <f>1</f>
        <v>1</v>
      </c>
      <c r="E19" s="58">
        <f>IF(tbAvaliacaoSLA[[#This Row],[Competência]]="","",DAY(EOMONTH(tbAvaliacaoSLA[[#This Row],[Competência]],0))*24)</f>
        <v>744</v>
      </c>
      <c r="F19" s="34">
        <v>0</v>
      </c>
      <c r="G19" s="34">
        <v>0</v>
      </c>
      <c r="H19" s="35">
        <f t="shared" si="1"/>
        <v>744</v>
      </c>
      <c r="I19" s="36">
        <f t="shared" si="2"/>
        <v>744</v>
      </c>
      <c r="J19" s="36">
        <f t="shared" si="3"/>
        <v>744</v>
      </c>
      <c r="K19" s="38">
        <f t="shared" si="4"/>
        <v>1</v>
      </c>
      <c r="L19" s="38">
        <f>IF(tbAvaliacaoSLA[[#This Row],[Competência]]="","",Parâmetros!$C$4)</f>
        <v>0.995</v>
      </c>
      <c r="M19" s="38">
        <f t="shared" si="5"/>
        <v>0</v>
      </c>
      <c r="N19" s="39">
        <f>IF(M19="","",IF(Parâmetros!$C$7="INICIADA",ROUNDUP(M19/Parâmetros!$C$5,0),ROUNDDOWN(M19/Parâmetros!$C$5,0)))</f>
        <v>0</v>
      </c>
      <c r="O19" s="39">
        <f>IF(N19="","",N19*Parâmetros!$C$6)</f>
        <v>0</v>
      </c>
      <c r="P19" s="40" t="str">
        <f t="shared" si="6"/>
        <v>ATENDIDO</v>
      </c>
      <c r="Q19" s="32"/>
      <c r="S19" s="41">
        <f>tbAvaliacaoSLA[[#This Row],[Disponibilidade (Fornecedor)]]</f>
        <v>1</v>
      </c>
    </row>
    <row r="20" spans="1:19" ht="15" customHeight="1" x14ac:dyDescent="0.2">
      <c r="A20" s="31" t="str">
        <f>IF(OR(tbAvaliacaoSLA[[#This Row],[Sistema/serviço]]="",A19=0),"",A19)</f>
        <v/>
      </c>
      <c r="B20" s="31"/>
      <c r="C20" s="32"/>
      <c r="D20" s="33"/>
      <c r="E20" s="58" t="str">
        <f>IF(tbAvaliacaoSLA[[#This Row],[Competência]]="","",DAY(EOMONTH(tbAvaliacaoSLA[[#This Row],[Competência]],0))*24)</f>
        <v/>
      </c>
      <c r="F20" s="34"/>
      <c r="G20" s="34">
        <v>0</v>
      </c>
      <c r="H20" s="35" t="str">
        <f t="shared" si="1"/>
        <v/>
      </c>
      <c r="I20" s="36" t="str">
        <f t="shared" si="2"/>
        <v/>
      </c>
      <c r="J20" s="36" t="str">
        <f t="shared" si="3"/>
        <v/>
      </c>
      <c r="K20" s="38" t="str">
        <f t="shared" si="4"/>
        <v/>
      </c>
      <c r="L20" s="38" t="str">
        <f>IF(tbAvaliacaoSLA[[#This Row],[Competência]]="","",Parâmetros!$C$4)</f>
        <v/>
      </c>
      <c r="M20" s="38" t="str">
        <f t="shared" si="5"/>
        <v/>
      </c>
      <c r="N20" s="39" t="str">
        <f>IF(M20="","",IF(Parâmetros!$C$7="INICIADA",ROUNDUP(M20/Parâmetros!$C$5,0),ROUNDDOWN(M20/Parâmetros!$C$5,0)))</f>
        <v/>
      </c>
      <c r="O20" s="39" t="str">
        <f>IF(N20="","",N20*Parâmetros!$C$6)</f>
        <v/>
      </c>
      <c r="P20" s="40" t="str">
        <f t="shared" si="6"/>
        <v/>
      </c>
      <c r="Q20" s="42"/>
      <c r="S20" s="41">
        <f>tbAvaliacaoSLA[[#This Row],[Disponibilidade (Fornecedor)]]</f>
        <v>0</v>
      </c>
    </row>
    <row r="21" spans="1:19" ht="15" customHeight="1" x14ac:dyDescent="0.2">
      <c r="A21" s="31" t="str">
        <f>IF(OR(tbAvaliacaoSLA[[#This Row],[Sistema/serviço]]="",A20=0),"",A20)</f>
        <v/>
      </c>
      <c r="B21" s="31"/>
      <c r="C21" s="32"/>
      <c r="D21" s="32"/>
      <c r="E21" s="58" t="str">
        <f>IF(tbAvaliacaoSLA[[#This Row],[Competência]]="","",DAY(EOMONTH(tbAvaliacaoSLA[[#This Row],[Competência]],0))*24)</f>
        <v/>
      </c>
      <c r="F21" s="34"/>
      <c r="G21" s="34">
        <v>0</v>
      </c>
      <c r="H21" s="35" t="str">
        <f t="shared" si="1"/>
        <v/>
      </c>
      <c r="I21" s="36" t="str">
        <f t="shared" si="2"/>
        <v/>
      </c>
      <c r="J21" s="36" t="str">
        <f t="shared" si="3"/>
        <v/>
      </c>
      <c r="K21" s="38" t="str">
        <f t="shared" si="4"/>
        <v/>
      </c>
      <c r="L21" s="38" t="str">
        <f>IF(tbAvaliacaoSLA[[#This Row],[Competência]]="","",Parâmetros!$C$4)</f>
        <v/>
      </c>
      <c r="M21" s="38" t="str">
        <f t="shared" si="5"/>
        <v/>
      </c>
      <c r="N21" s="39" t="str">
        <f>IF(M21="","",IF(Parâmetros!$C$7="INICIADA",ROUNDUP(M21/Parâmetros!$C$5,0),ROUNDDOWN(M21/Parâmetros!$C$5,0)))</f>
        <v/>
      </c>
      <c r="O21" s="39" t="str">
        <f>IF(N21="","",N21*Parâmetros!$C$6)</f>
        <v/>
      </c>
      <c r="P21" s="40" t="str">
        <f t="shared" si="6"/>
        <v/>
      </c>
      <c r="Q21" s="32"/>
      <c r="S21" s="41">
        <f>tbAvaliacaoSLA[[#This Row],[Disponibilidade (Fornecedor)]]</f>
        <v>0</v>
      </c>
    </row>
    <row r="22" spans="1:19" ht="15" customHeight="1" x14ac:dyDescent="0.2">
      <c r="A22" s="31" t="str">
        <f>IF(OR(tbAvaliacaoSLA[[#This Row],[Sistema/serviço]]="",A21=0),"",A21)</f>
        <v/>
      </c>
      <c r="B22" s="31"/>
      <c r="C22" s="32"/>
      <c r="D22" s="32"/>
      <c r="E22" s="58" t="str">
        <f>IF(tbAvaliacaoSLA[[#This Row],[Competência]]="","",DAY(EOMONTH(tbAvaliacaoSLA[[#This Row],[Competência]],0))*24)</f>
        <v/>
      </c>
      <c r="F22" s="34"/>
      <c r="G22" s="34">
        <v>0</v>
      </c>
      <c r="H22" s="35" t="str">
        <f t="shared" si="1"/>
        <v/>
      </c>
      <c r="I22" s="36" t="str">
        <f t="shared" si="2"/>
        <v/>
      </c>
      <c r="J22" s="36" t="str">
        <f t="shared" si="3"/>
        <v/>
      </c>
      <c r="K22" s="38" t="str">
        <f t="shared" si="4"/>
        <v/>
      </c>
      <c r="L22" s="38" t="str">
        <f>IF(tbAvaliacaoSLA[[#This Row],[Competência]]="","",Parâmetros!$C$4)</f>
        <v/>
      </c>
      <c r="M22" s="38" t="str">
        <f t="shared" si="5"/>
        <v/>
      </c>
      <c r="N22" s="39" t="str">
        <f>IF(M22="","",IF(Parâmetros!$C$7="INICIADA",ROUNDUP(M22/Parâmetros!$C$5,0),ROUNDDOWN(M22/Parâmetros!$C$5,0)))</f>
        <v/>
      </c>
      <c r="O22" s="39" t="str">
        <f>IF(N22="","",N22*Parâmetros!$C$6)</f>
        <v/>
      </c>
      <c r="P22" s="40" t="str">
        <f t="shared" si="6"/>
        <v/>
      </c>
      <c r="Q22" s="32"/>
    </row>
    <row r="23" spans="1:19" ht="15" customHeight="1" x14ac:dyDescent="0.2">
      <c r="A23" s="31" t="str">
        <f>IF(OR(tbAvaliacaoSLA[[#This Row],[Sistema/serviço]]="",A22=0),"",A22)</f>
        <v/>
      </c>
      <c r="B23" s="31"/>
      <c r="C23" s="32"/>
      <c r="D23" s="32"/>
      <c r="E23" s="58" t="str">
        <f>IF(tbAvaliacaoSLA[[#This Row],[Competência]]="","",DAY(EOMONTH(tbAvaliacaoSLA[[#This Row],[Competência]],0))*24)</f>
        <v/>
      </c>
      <c r="F23" s="34"/>
      <c r="G23" s="34">
        <v>0</v>
      </c>
      <c r="H23" s="35" t="str">
        <f t="shared" si="1"/>
        <v/>
      </c>
      <c r="I23" s="36" t="str">
        <f t="shared" si="2"/>
        <v/>
      </c>
      <c r="J23" s="36" t="str">
        <f t="shared" si="3"/>
        <v/>
      </c>
      <c r="K23" s="38" t="str">
        <f t="shared" si="4"/>
        <v/>
      </c>
      <c r="L23" s="38" t="str">
        <f>IF(tbAvaliacaoSLA[[#This Row],[Competência]]="","",Parâmetros!$C$4)</f>
        <v/>
      </c>
      <c r="M23" s="38" t="str">
        <f t="shared" si="5"/>
        <v/>
      </c>
      <c r="N23" s="39" t="str">
        <f>IF(M23="","",IF(Parâmetros!$C$7="INICIADA",ROUNDUP(M23/Parâmetros!$C$5,0),ROUNDDOWN(M23/Parâmetros!$C$5,0)))</f>
        <v/>
      </c>
      <c r="O23" s="39" t="str">
        <f>IF(N23="","",N23*Parâmetros!$C$6)</f>
        <v/>
      </c>
      <c r="P23" s="40" t="str">
        <f t="shared" si="6"/>
        <v/>
      </c>
      <c r="Q23" s="32"/>
    </row>
    <row r="24" spans="1:19" ht="15" customHeight="1" x14ac:dyDescent="0.2">
      <c r="A24" s="31" t="str">
        <f>IF(OR(tbAvaliacaoSLA[[#This Row],[Sistema/serviço]]="",A23=0),"",A23)</f>
        <v/>
      </c>
      <c r="B24" s="43"/>
      <c r="C24" s="32"/>
      <c r="D24" s="32"/>
      <c r="E24" s="58" t="str">
        <f>IF(tbAvaliacaoSLA[[#This Row],[Competência]]="","",DAY(EOMONTH(tbAvaliacaoSLA[[#This Row],[Competência]],0))*24)</f>
        <v/>
      </c>
      <c r="F24" s="34"/>
      <c r="G24" s="34">
        <v>0</v>
      </c>
      <c r="H24" s="35" t="str">
        <f t="shared" si="1"/>
        <v/>
      </c>
      <c r="I24" s="36" t="str">
        <f t="shared" si="2"/>
        <v/>
      </c>
      <c r="J24" s="36" t="str">
        <f t="shared" si="3"/>
        <v/>
      </c>
      <c r="K24" s="38" t="str">
        <f t="shared" si="4"/>
        <v/>
      </c>
      <c r="L24" s="38" t="str">
        <f>IF(tbAvaliacaoSLA[[#This Row],[Competência]]="","",Parâmetros!$C$4)</f>
        <v/>
      </c>
      <c r="M24" s="38" t="str">
        <f t="shared" si="5"/>
        <v/>
      </c>
      <c r="N24" s="39" t="str">
        <f>IF(M24="","",IF(Parâmetros!$C$7="INICIADA",ROUNDUP(M24/Parâmetros!$C$5,0),ROUNDDOWN(M24/Parâmetros!$C$5,0)))</f>
        <v/>
      </c>
      <c r="O24" s="39" t="str">
        <f>IF(N24="","",N24*Parâmetros!$C$6)</f>
        <v/>
      </c>
      <c r="P24" s="40" t="str">
        <f t="shared" si="6"/>
        <v/>
      </c>
      <c r="Q24" s="32"/>
    </row>
    <row r="25" spans="1:19" ht="15" customHeight="1" x14ac:dyDescent="0.2">
      <c r="A25" s="43"/>
      <c r="B25" s="43"/>
      <c r="C25" s="32"/>
      <c r="D25" s="32"/>
      <c r="E25" s="58" t="str">
        <f>IF(tbAvaliacaoSLA[[#This Row],[Competência]]="","",DAY(EOMONTH(tbAvaliacaoSLA[[#This Row],[Competência]],0))*24)</f>
        <v/>
      </c>
      <c r="F25" s="34"/>
      <c r="G25" s="34">
        <v>0</v>
      </c>
      <c r="H25" s="35" t="str">
        <f t="shared" si="1"/>
        <v/>
      </c>
      <c r="I25" s="36" t="str">
        <f t="shared" si="2"/>
        <v/>
      </c>
      <c r="J25" s="36" t="str">
        <f t="shared" si="3"/>
        <v/>
      </c>
      <c r="K25" s="38" t="str">
        <f t="shared" si="4"/>
        <v/>
      </c>
      <c r="L25" s="38" t="str">
        <f>IF(tbAvaliacaoSLA[[#This Row],[Competência]]="","",Parâmetros!$C$4)</f>
        <v/>
      </c>
      <c r="M25" s="38" t="str">
        <f t="shared" si="5"/>
        <v/>
      </c>
      <c r="N25" s="39" t="str">
        <f>IF(M25="","",IF(Parâmetros!$C$7="INICIADA",ROUNDUP(M25/Parâmetros!$C$5,0),ROUNDDOWN(M25/Parâmetros!$C$5,0)))</f>
        <v/>
      </c>
      <c r="O25" s="39" t="str">
        <f>IF(N25="","",N25*Parâmetros!$C$6)</f>
        <v/>
      </c>
      <c r="P25" s="40" t="str">
        <f t="shared" si="6"/>
        <v/>
      </c>
      <c r="Q25" s="32"/>
    </row>
    <row r="26" spans="1:19" ht="15" customHeight="1" x14ac:dyDescent="0.2">
      <c r="A26" s="43"/>
      <c r="B26" s="43"/>
      <c r="C26" s="32"/>
      <c r="D26" s="32"/>
      <c r="E26" s="58" t="str">
        <f>IF(tbAvaliacaoSLA[[#This Row],[Competência]]="","",DAY(EOMONTH(tbAvaliacaoSLA[[#This Row],[Competência]],0))*24)</f>
        <v/>
      </c>
      <c r="F26" s="34"/>
      <c r="G26" s="34">
        <v>0</v>
      </c>
      <c r="H26" s="35" t="str">
        <f t="shared" si="1"/>
        <v/>
      </c>
      <c r="I26" s="36" t="str">
        <f t="shared" si="2"/>
        <v/>
      </c>
      <c r="J26" s="36" t="str">
        <f t="shared" si="3"/>
        <v/>
      </c>
      <c r="K26" s="38" t="str">
        <f t="shared" si="4"/>
        <v/>
      </c>
      <c r="L26" s="38" t="str">
        <f>IF(tbAvaliacaoSLA[[#This Row],[Competência]]="","",Parâmetros!$C$4)</f>
        <v/>
      </c>
      <c r="M26" s="38" t="str">
        <f t="shared" si="5"/>
        <v/>
      </c>
      <c r="N26" s="39" t="str">
        <f>IF(M26="","",IF(Parâmetros!$C$7="INICIADA",ROUNDUP(M26/Parâmetros!$C$5,0),ROUNDDOWN(M26/Parâmetros!$C$5,0)))</f>
        <v/>
      </c>
      <c r="O26" s="39" t="str">
        <f>IF(N26="","",N26*Parâmetros!$C$6)</f>
        <v/>
      </c>
      <c r="P26" s="40" t="str">
        <f t="shared" si="6"/>
        <v/>
      </c>
      <c r="Q26" s="32"/>
    </row>
    <row r="27" spans="1:19" ht="15" customHeight="1" x14ac:dyDescent="0.2">
      <c r="A27" s="43"/>
      <c r="B27" s="43"/>
      <c r="C27" s="32"/>
      <c r="D27" s="32"/>
      <c r="E27" s="58" t="str">
        <f>IF(tbAvaliacaoSLA[[#This Row],[Competência]]="","",DAY(EOMONTH(tbAvaliacaoSLA[[#This Row],[Competência]],0))*24)</f>
        <v/>
      </c>
      <c r="F27" s="34"/>
      <c r="G27" s="34">
        <v>0</v>
      </c>
      <c r="H27" s="35" t="str">
        <f t="shared" si="1"/>
        <v/>
      </c>
      <c r="I27" s="36" t="str">
        <f t="shared" si="2"/>
        <v/>
      </c>
      <c r="J27" s="36" t="str">
        <f t="shared" si="3"/>
        <v/>
      </c>
      <c r="K27" s="38" t="str">
        <f t="shared" si="4"/>
        <v/>
      </c>
      <c r="L27" s="38" t="str">
        <f>IF(tbAvaliacaoSLA[[#This Row],[Competência]]="","",Parâmetros!$C$4)</f>
        <v/>
      </c>
      <c r="M27" s="38" t="str">
        <f t="shared" si="5"/>
        <v/>
      </c>
      <c r="N27" s="39" t="str">
        <f>IF(M27="","",IF(Parâmetros!$C$7="INICIADA",ROUNDUP(M27/Parâmetros!$C$5,0),ROUNDDOWN(M27/Parâmetros!$C$5,0)))</f>
        <v/>
      </c>
      <c r="O27" s="39" t="str">
        <f>IF(N27="","",N27*Parâmetros!$C$6)</f>
        <v/>
      </c>
      <c r="P27" s="40" t="str">
        <f t="shared" si="6"/>
        <v/>
      </c>
      <c r="Q27" s="32"/>
    </row>
    <row r="28" spans="1:19" ht="15" customHeight="1" x14ac:dyDescent="0.2">
      <c r="A28" s="43"/>
      <c r="B28" s="43"/>
      <c r="C28" s="32"/>
      <c r="D28" s="32"/>
      <c r="E28" s="58" t="str">
        <f>IF(tbAvaliacaoSLA[[#This Row],[Competência]]="","",DAY(EOMONTH(tbAvaliacaoSLA[[#This Row],[Competência]],0))*24)</f>
        <v/>
      </c>
      <c r="F28" s="34"/>
      <c r="G28" s="34">
        <v>0</v>
      </c>
      <c r="H28" s="35" t="str">
        <f t="shared" si="1"/>
        <v/>
      </c>
      <c r="I28" s="36" t="str">
        <f t="shared" si="2"/>
        <v/>
      </c>
      <c r="J28" s="36" t="str">
        <f t="shared" si="3"/>
        <v/>
      </c>
      <c r="K28" s="38" t="str">
        <f t="shared" si="4"/>
        <v/>
      </c>
      <c r="L28" s="38" t="str">
        <f>IF(tbAvaliacaoSLA[[#This Row],[Competência]]="","",Parâmetros!$C$4)</f>
        <v/>
      </c>
      <c r="M28" s="38" t="str">
        <f t="shared" si="5"/>
        <v/>
      </c>
      <c r="N28" s="39" t="str">
        <f>IF(M28="","",IF(Parâmetros!$C$7="INICIADA",ROUNDUP(M28/Parâmetros!$C$5,0),ROUNDDOWN(M28/Parâmetros!$C$5,0)))</f>
        <v/>
      </c>
      <c r="O28" s="39" t="str">
        <f>IF(N28="","",N28*Parâmetros!$C$6)</f>
        <v/>
      </c>
      <c r="P28" s="40" t="str">
        <f t="shared" si="6"/>
        <v/>
      </c>
      <c r="Q28" s="32"/>
    </row>
    <row r="29" spans="1:19" ht="15" customHeight="1" x14ac:dyDescent="0.2">
      <c r="A29" s="43"/>
      <c r="B29" s="43"/>
      <c r="C29" s="32"/>
      <c r="D29" s="32"/>
      <c r="E29" s="58" t="str">
        <f>IF(tbAvaliacaoSLA[[#This Row],[Competência]]="","",DAY(EOMONTH(tbAvaliacaoSLA[[#This Row],[Competência]],0))*24)</f>
        <v/>
      </c>
      <c r="F29" s="34"/>
      <c r="G29" s="34">
        <v>0</v>
      </c>
      <c r="H29" s="35" t="str">
        <f t="shared" si="1"/>
        <v/>
      </c>
      <c r="I29" s="36" t="str">
        <f t="shared" si="2"/>
        <v/>
      </c>
      <c r="J29" s="36" t="str">
        <f t="shared" si="3"/>
        <v/>
      </c>
      <c r="K29" s="38" t="str">
        <f t="shared" si="4"/>
        <v/>
      </c>
      <c r="L29" s="38" t="str">
        <f>IF(tbAvaliacaoSLA[[#This Row],[Competência]]="","",Parâmetros!$C$4)</f>
        <v/>
      </c>
      <c r="M29" s="38" t="str">
        <f t="shared" si="5"/>
        <v/>
      </c>
      <c r="N29" s="39" t="str">
        <f>IF(M29="","",IF(Parâmetros!$C$7="INICIADA",ROUNDUP(M29/Parâmetros!$C$5,0),ROUNDDOWN(M29/Parâmetros!$C$5,0)))</f>
        <v/>
      </c>
      <c r="O29" s="39" t="str">
        <f>IF(N29="","",N29*Parâmetros!$C$6)</f>
        <v/>
      </c>
      <c r="P29" s="40" t="str">
        <f t="shared" si="6"/>
        <v/>
      </c>
      <c r="Q29" s="32"/>
    </row>
    <row r="30" spans="1:19" ht="15" customHeight="1" x14ac:dyDescent="0.2">
      <c r="A30" s="43"/>
      <c r="B30" s="43"/>
      <c r="C30" s="32"/>
      <c r="D30" s="32"/>
      <c r="E30" s="58" t="str">
        <f>IF(tbAvaliacaoSLA[[#This Row],[Competência]]="","",DAY(EOMONTH(tbAvaliacaoSLA[[#This Row],[Competência]],0))*24)</f>
        <v/>
      </c>
      <c r="F30" s="34"/>
      <c r="G30" s="34">
        <v>0</v>
      </c>
      <c r="H30" s="35" t="str">
        <f t="shared" si="1"/>
        <v/>
      </c>
      <c r="I30" s="36" t="str">
        <f t="shared" si="2"/>
        <v/>
      </c>
      <c r="J30" s="36" t="str">
        <f t="shared" si="3"/>
        <v/>
      </c>
      <c r="K30" s="38" t="str">
        <f t="shared" si="4"/>
        <v/>
      </c>
      <c r="L30" s="38" t="str">
        <f>IF(tbAvaliacaoSLA[[#This Row],[Competência]]="","",Parâmetros!$C$4)</f>
        <v/>
      </c>
      <c r="M30" s="38" t="str">
        <f t="shared" si="5"/>
        <v/>
      </c>
      <c r="N30" s="39" t="str">
        <f>IF(M30="","",IF(Parâmetros!$C$7="INICIADA",ROUNDUP(M30/Parâmetros!$C$5,0),ROUNDDOWN(M30/Parâmetros!$C$5,0)))</f>
        <v/>
      </c>
      <c r="O30" s="39" t="str">
        <f>IF(N30="","",N30*Parâmetros!$C$6)</f>
        <v/>
      </c>
      <c r="P30" s="40" t="str">
        <f t="shared" si="6"/>
        <v/>
      </c>
      <c r="Q30" s="32"/>
    </row>
    <row r="31" spans="1:19" ht="15" customHeight="1" x14ac:dyDescent="0.2">
      <c r="A31" s="43"/>
      <c r="B31" s="43"/>
      <c r="C31" s="32"/>
      <c r="D31" s="32"/>
      <c r="E31" s="58" t="str">
        <f>IF(tbAvaliacaoSLA[[#This Row],[Competência]]="","",DAY(EOMONTH(tbAvaliacaoSLA[[#This Row],[Competência]],0))*24)</f>
        <v/>
      </c>
      <c r="F31" s="34"/>
      <c r="G31" s="34">
        <v>0</v>
      </c>
      <c r="H31" s="35" t="str">
        <f t="shared" si="1"/>
        <v/>
      </c>
      <c r="I31" s="36" t="str">
        <f t="shared" si="2"/>
        <v/>
      </c>
      <c r="J31" s="36" t="str">
        <f t="shared" si="3"/>
        <v/>
      </c>
      <c r="K31" s="38" t="str">
        <f t="shared" si="4"/>
        <v/>
      </c>
      <c r="L31" s="38" t="str">
        <f>IF(tbAvaliacaoSLA[[#This Row],[Competência]]="","",Parâmetros!$C$4)</f>
        <v/>
      </c>
      <c r="M31" s="38" t="str">
        <f t="shared" si="5"/>
        <v/>
      </c>
      <c r="N31" s="39" t="str">
        <f>IF(M31="","",IF(Parâmetros!$C$7="INICIADA",ROUNDUP(M31/Parâmetros!$C$5,0),ROUNDDOWN(M31/Parâmetros!$C$5,0)))</f>
        <v/>
      </c>
      <c r="O31" s="39" t="str">
        <f>IF(N31="","",N31*Parâmetros!$C$6)</f>
        <v/>
      </c>
      <c r="P31" s="40" t="str">
        <f t="shared" si="6"/>
        <v/>
      </c>
      <c r="Q31" s="32"/>
    </row>
    <row r="32" spans="1:19" ht="15" customHeight="1" x14ac:dyDescent="0.2">
      <c r="A32" s="43"/>
      <c r="B32" s="43"/>
      <c r="C32" s="32"/>
      <c r="D32" s="32"/>
      <c r="E32" s="58" t="str">
        <f>IF(tbAvaliacaoSLA[[#This Row],[Competência]]="","",DAY(EOMONTH(tbAvaliacaoSLA[[#This Row],[Competência]],0))*24)</f>
        <v/>
      </c>
      <c r="F32" s="34"/>
      <c r="G32" s="34">
        <v>0</v>
      </c>
      <c r="H32" s="35" t="str">
        <f t="shared" si="1"/>
        <v/>
      </c>
      <c r="I32" s="36" t="str">
        <f t="shared" si="2"/>
        <v/>
      </c>
      <c r="J32" s="36" t="str">
        <f t="shared" si="3"/>
        <v/>
      </c>
      <c r="K32" s="38" t="str">
        <f t="shared" si="4"/>
        <v/>
      </c>
      <c r="L32" s="38" t="str">
        <f>IF(tbAvaliacaoSLA[[#This Row],[Competência]]="","",Parâmetros!$C$4)</f>
        <v/>
      </c>
      <c r="M32" s="38" t="str">
        <f t="shared" si="5"/>
        <v/>
      </c>
      <c r="N32" s="39" t="str">
        <f>IF(M32="","",IF(Parâmetros!$C$7="INICIADA",ROUNDUP(M32/Parâmetros!$C$5,0),ROUNDDOWN(M32/Parâmetros!$C$5,0)))</f>
        <v/>
      </c>
      <c r="O32" s="39" t="str">
        <f>IF(N32="","",N32*Parâmetros!$C$6)</f>
        <v/>
      </c>
      <c r="P32" s="40" t="str">
        <f t="shared" si="6"/>
        <v/>
      </c>
      <c r="Q32" s="32"/>
    </row>
    <row r="33" spans="1:17" ht="15" customHeight="1" x14ac:dyDescent="0.2">
      <c r="A33" s="43"/>
      <c r="B33" s="43"/>
      <c r="C33" s="32"/>
      <c r="D33" s="32"/>
      <c r="E33" s="58" t="str">
        <f>IF(tbAvaliacaoSLA[[#This Row],[Competência]]="","",DAY(EOMONTH(tbAvaliacaoSLA[[#This Row],[Competência]],0))*24)</f>
        <v/>
      </c>
      <c r="F33" s="34"/>
      <c r="G33" s="34">
        <v>0</v>
      </c>
      <c r="H33" s="35" t="str">
        <f t="shared" si="1"/>
        <v/>
      </c>
      <c r="I33" s="36" t="str">
        <f t="shared" si="2"/>
        <v/>
      </c>
      <c r="J33" s="36" t="str">
        <f t="shared" si="3"/>
        <v/>
      </c>
      <c r="K33" s="38" t="str">
        <f t="shared" si="4"/>
        <v/>
      </c>
      <c r="L33" s="38" t="str">
        <f>IF(tbAvaliacaoSLA[[#This Row],[Competência]]="","",Parâmetros!$C$4)</f>
        <v/>
      </c>
      <c r="M33" s="38" t="str">
        <f t="shared" si="5"/>
        <v/>
      </c>
      <c r="N33" s="39" t="str">
        <f>IF(M33="","",IF(Parâmetros!$C$7="INICIADA",ROUNDUP(M33/Parâmetros!$C$5,0),ROUNDDOWN(M33/Parâmetros!$C$5,0)))</f>
        <v/>
      </c>
      <c r="O33" s="39" t="str">
        <f>IF(N33="","",N33*Parâmetros!$C$6)</f>
        <v/>
      </c>
      <c r="P33" s="40" t="str">
        <f t="shared" si="6"/>
        <v/>
      </c>
      <c r="Q33" s="32"/>
    </row>
    <row r="34" spans="1:17" ht="15" customHeight="1" x14ac:dyDescent="0.2">
      <c r="A34" s="43"/>
      <c r="B34" s="43"/>
      <c r="C34" s="32"/>
      <c r="D34" s="32"/>
      <c r="E34" s="58" t="str">
        <f>IF(tbAvaliacaoSLA[[#This Row],[Competência]]="","",DAY(EOMONTH(tbAvaliacaoSLA[[#This Row],[Competência]],0))*24)</f>
        <v/>
      </c>
      <c r="F34" s="34"/>
      <c r="G34" s="34">
        <v>0</v>
      </c>
      <c r="H34" s="35" t="str">
        <f t="shared" si="1"/>
        <v/>
      </c>
      <c r="I34" s="36" t="str">
        <f t="shared" ref="I34:I65" si="7">IF(OR(E34="",F34="",G34=""),"",E34-F34-G34)</f>
        <v/>
      </c>
      <c r="J34" s="36" t="str">
        <f t="shared" si="3"/>
        <v/>
      </c>
      <c r="K34" s="38" t="str">
        <f t="shared" si="4"/>
        <v/>
      </c>
      <c r="L34" s="38" t="str">
        <f>IF(tbAvaliacaoSLA[[#This Row],[Competência]]="","",Parâmetros!$C$4)</f>
        <v/>
      </c>
      <c r="M34" s="38" t="str">
        <f t="shared" si="5"/>
        <v/>
      </c>
      <c r="N34" s="39" t="str">
        <f>IF(M34="","",IF(Parâmetros!$C$7="INICIADA",ROUNDUP(M34/Parâmetros!$C$5,0),ROUNDDOWN(M34/Parâmetros!$C$5,0)))</f>
        <v/>
      </c>
      <c r="O34" s="39" t="str">
        <f>IF(N34="","",N34*Parâmetros!$C$6)</f>
        <v/>
      </c>
      <c r="P34" s="40" t="str">
        <f t="shared" si="6"/>
        <v/>
      </c>
      <c r="Q34" s="32"/>
    </row>
    <row r="35" spans="1:17" ht="15" customHeight="1" x14ac:dyDescent="0.2">
      <c r="A35" s="43"/>
      <c r="B35" s="43"/>
      <c r="C35" s="32"/>
      <c r="D35" s="32"/>
      <c r="E35" s="58" t="str">
        <f>IF(tbAvaliacaoSLA[[#This Row],[Competência]]="","",DAY(EOMONTH(tbAvaliacaoSLA[[#This Row],[Competência]],0))*24)</f>
        <v/>
      </c>
      <c r="F35" s="34"/>
      <c r="G35" s="34">
        <v>0</v>
      </c>
      <c r="H35" s="35" t="str">
        <f t="shared" si="1"/>
        <v/>
      </c>
      <c r="I35" s="36" t="str">
        <f t="shared" si="7"/>
        <v/>
      </c>
      <c r="J35" s="36" t="str">
        <f t="shared" si="3"/>
        <v/>
      </c>
      <c r="K35" s="38" t="str">
        <f t="shared" si="4"/>
        <v/>
      </c>
      <c r="L35" s="38" t="str">
        <f>IF(tbAvaliacaoSLA[[#This Row],[Competência]]="","",Parâmetros!$C$4)</f>
        <v/>
      </c>
      <c r="M35" s="38" t="str">
        <f t="shared" si="5"/>
        <v/>
      </c>
      <c r="N35" s="39" t="str">
        <f>IF(M35="","",IF(Parâmetros!$C$7="INICIADA",ROUNDUP(M35/Parâmetros!$C$5,0),ROUNDDOWN(M35/Parâmetros!$C$5,0)))</f>
        <v/>
      </c>
      <c r="O35" s="39" t="str">
        <f>IF(N35="","",N35*Parâmetros!$C$6)</f>
        <v/>
      </c>
      <c r="P35" s="40" t="str">
        <f t="shared" si="6"/>
        <v/>
      </c>
      <c r="Q35" s="32"/>
    </row>
    <row r="36" spans="1:17" ht="15" customHeight="1" x14ac:dyDescent="0.2">
      <c r="A36" s="43"/>
      <c r="B36" s="43"/>
      <c r="C36" s="32"/>
      <c r="D36" s="32"/>
      <c r="E36" s="58" t="str">
        <f>IF(tbAvaliacaoSLA[[#This Row],[Competência]]="","",DAY(EOMONTH(tbAvaliacaoSLA[[#This Row],[Competência]],0))*24)</f>
        <v/>
      </c>
      <c r="F36" s="34"/>
      <c r="G36" s="34">
        <v>0</v>
      </c>
      <c r="H36" s="35" t="str">
        <f t="shared" si="1"/>
        <v/>
      </c>
      <c r="I36" s="36" t="str">
        <f t="shared" si="7"/>
        <v/>
      </c>
      <c r="J36" s="36" t="str">
        <f t="shared" si="3"/>
        <v/>
      </c>
      <c r="K36" s="38" t="str">
        <f t="shared" si="4"/>
        <v/>
      </c>
      <c r="L36" s="38" t="str">
        <f>IF(tbAvaliacaoSLA[[#This Row],[Competência]]="","",Parâmetros!$C$4)</f>
        <v/>
      </c>
      <c r="M36" s="38" t="str">
        <f t="shared" si="5"/>
        <v/>
      </c>
      <c r="N36" s="39" t="str">
        <f>IF(M36="","",IF(Parâmetros!$C$7="INICIADA",ROUNDUP(M36/Parâmetros!$C$5,0),ROUNDDOWN(M36/Parâmetros!$C$5,0)))</f>
        <v/>
      </c>
      <c r="O36" s="39" t="str">
        <f>IF(N36="","",N36*Parâmetros!$C$6)</f>
        <v/>
      </c>
      <c r="P36" s="40" t="str">
        <f t="shared" si="6"/>
        <v/>
      </c>
      <c r="Q36" s="32"/>
    </row>
    <row r="37" spans="1:17" ht="15" customHeight="1" x14ac:dyDescent="0.2">
      <c r="A37" s="43"/>
      <c r="B37" s="43"/>
      <c r="C37" s="32"/>
      <c r="D37" s="32"/>
      <c r="E37" s="58" t="str">
        <f>IF(tbAvaliacaoSLA[[#This Row],[Competência]]="","",DAY(EOMONTH(tbAvaliacaoSLA[[#This Row],[Competência]],0))*24)</f>
        <v/>
      </c>
      <c r="F37" s="34"/>
      <c r="G37" s="34">
        <v>0</v>
      </c>
      <c r="H37" s="35" t="str">
        <f t="shared" ref="H37:H68" si="8">IF(OR(E37="",D37=""),"",E37*D37)</f>
        <v/>
      </c>
      <c r="I37" s="36" t="str">
        <f t="shared" si="7"/>
        <v/>
      </c>
      <c r="J37" s="36" t="str">
        <f t="shared" ref="J37:J68" si="9">IF(OR(H37="",F37="",G37=""),"",H37-F37-G37)</f>
        <v/>
      </c>
      <c r="K37" s="38" t="str">
        <f t="shared" ref="K37:K68" si="10">IFERROR(J37/I37,"")</f>
        <v/>
      </c>
      <c r="L37" s="38" t="str">
        <f>IF(tbAvaliacaoSLA[[#This Row],[Competência]]="","",Parâmetros!$C$4)</f>
        <v/>
      </c>
      <c r="M37" s="38" t="str">
        <f t="shared" ref="M37:M68" si="11">IF(K37="","",MAX(0,L37-K37))</f>
        <v/>
      </c>
      <c r="N37" s="39" t="str">
        <f>IF(M37="","",IF(Parâmetros!$C$7="INICIADA",ROUNDUP(M37/Parâmetros!$C$5,0),ROUNDDOWN(M37/Parâmetros!$C$5,0)))</f>
        <v/>
      </c>
      <c r="O37" s="39" t="str">
        <f>IF(N37="","",N37*Parâmetros!$C$6)</f>
        <v/>
      </c>
      <c r="P37" s="40" t="str">
        <f t="shared" ref="P37:P68" si="12">IF(K37="","",IF(OR(I37&lt;=0,J37&lt;0,J37&gt;I37),"REVISAR DADOS",IF(K37&gt;=L37,"ATENDIDO","NÃO ATENDIDO")))</f>
        <v/>
      </c>
      <c r="Q37" s="32"/>
    </row>
    <row r="38" spans="1:17" ht="15" customHeight="1" x14ac:dyDescent="0.2">
      <c r="A38" s="43"/>
      <c r="B38" s="43"/>
      <c r="C38" s="32"/>
      <c r="D38" s="32"/>
      <c r="E38" s="58" t="str">
        <f>IF(tbAvaliacaoSLA[[#This Row],[Competência]]="","",DAY(EOMONTH(tbAvaliacaoSLA[[#This Row],[Competência]],0))*24)</f>
        <v/>
      </c>
      <c r="F38" s="34"/>
      <c r="G38" s="34">
        <v>0</v>
      </c>
      <c r="H38" s="35" t="str">
        <f t="shared" si="8"/>
        <v/>
      </c>
      <c r="I38" s="36" t="str">
        <f t="shared" si="7"/>
        <v/>
      </c>
      <c r="J38" s="36" t="str">
        <f t="shared" si="9"/>
        <v/>
      </c>
      <c r="K38" s="38" t="str">
        <f t="shared" si="10"/>
        <v/>
      </c>
      <c r="L38" s="38" t="str">
        <f>IF(tbAvaliacaoSLA[[#This Row],[Competência]]="","",Parâmetros!$C$4)</f>
        <v/>
      </c>
      <c r="M38" s="38" t="str">
        <f t="shared" si="11"/>
        <v/>
      </c>
      <c r="N38" s="39" t="str">
        <f>IF(M38="","",IF(Parâmetros!$C$7="INICIADA",ROUNDUP(M38/Parâmetros!$C$5,0),ROUNDDOWN(M38/Parâmetros!$C$5,0)))</f>
        <v/>
      </c>
      <c r="O38" s="39" t="str">
        <f>IF(N38="","",N38*Parâmetros!$C$6)</f>
        <v/>
      </c>
      <c r="P38" s="40" t="str">
        <f t="shared" si="12"/>
        <v/>
      </c>
      <c r="Q38" s="32"/>
    </row>
    <row r="39" spans="1:17" ht="15" customHeight="1" x14ac:dyDescent="0.2">
      <c r="A39" s="43"/>
      <c r="B39" s="43"/>
      <c r="C39" s="32"/>
      <c r="D39" s="32"/>
      <c r="E39" s="58" t="str">
        <f>IF(tbAvaliacaoSLA[[#This Row],[Competência]]="","",DAY(EOMONTH(tbAvaliacaoSLA[[#This Row],[Competência]],0))*24)</f>
        <v/>
      </c>
      <c r="F39" s="34"/>
      <c r="G39" s="34">
        <v>0</v>
      </c>
      <c r="H39" s="35" t="str">
        <f t="shared" si="8"/>
        <v/>
      </c>
      <c r="I39" s="36" t="str">
        <f t="shared" si="7"/>
        <v/>
      </c>
      <c r="J39" s="36" t="str">
        <f t="shared" si="9"/>
        <v/>
      </c>
      <c r="K39" s="38" t="str">
        <f t="shared" si="10"/>
        <v/>
      </c>
      <c r="L39" s="38" t="str">
        <f>IF(tbAvaliacaoSLA[[#This Row],[Competência]]="","",Parâmetros!$C$4)</f>
        <v/>
      </c>
      <c r="M39" s="38" t="str">
        <f t="shared" si="11"/>
        <v/>
      </c>
      <c r="N39" s="39" t="str">
        <f>IF(M39="","",IF(Parâmetros!$C$7="INICIADA",ROUNDUP(M39/Parâmetros!$C$5,0),ROUNDDOWN(M39/Parâmetros!$C$5,0)))</f>
        <v/>
      </c>
      <c r="O39" s="39" t="str">
        <f>IF(N39="","",N39*Parâmetros!$C$6)</f>
        <v/>
      </c>
      <c r="P39" s="40" t="str">
        <f t="shared" si="12"/>
        <v/>
      </c>
      <c r="Q39" s="32"/>
    </row>
    <row r="40" spans="1:17" ht="15" customHeight="1" x14ac:dyDescent="0.2">
      <c r="A40" s="43"/>
      <c r="B40" s="43"/>
      <c r="C40" s="32"/>
      <c r="D40" s="32"/>
      <c r="E40" s="58" t="str">
        <f>IF(tbAvaliacaoSLA[[#This Row],[Competência]]="","",DAY(EOMONTH(tbAvaliacaoSLA[[#This Row],[Competência]],0))*24)</f>
        <v/>
      </c>
      <c r="F40" s="34"/>
      <c r="G40" s="34">
        <v>0</v>
      </c>
      <c r="H40" s="35" t="str">
        <f t="shared" si="8"/>
        <v/>
      </c>
      <c r="I40" s="36" t="str">
        <f t="shared" si="7"/>
        <v/>
      </c>
      <c r="J40" s="36" t="str">
        <f t="shared" si="9"/>
        <v/>
      </c>
      <c r="K40" s="38" t="str">
        <f t="shared" si="10"/>
        <v/>
      </c>
      <c r="L40" s="38" t="str">
        <f>IF(tbAvaliacaoSLA[[#This Row],[Competência]]="","",Parâmetros!$C$4)</f>
        <v/>
      </c>
      <c r="M40" s="38" t="str">
        <f t="shared" si="11"/>
        <v/>
      </c>
      <c r="N40" s="39" t="str">
        <f>IF(M40="","",IF(Parâmetros!$C$7="INICIADA",ROUNDUP(M40/Parâmetros!$C$5,0),ROUNDDOWN(M40/Parâmetros!$C$5,0)))</f>
        <v/>
      </c>
      <c r="O40" s="39" t="str">
        <f>IF(N40="","",N40*Parâmetros!$C$6)</f>
        <v/>
      </c>
      <c r="P40" s="40" t="str">
        <f t="shared" si="12"/>
        <v/>
      </c>
      <c r="Q40" s="32"/>
    </row>
    <row r="41" spans="1:17" ht="15" customHeight="1" x14ac:dyDescent="0.2">
      <c r="A41" s="43"/>
      <c r="B41" s="43"/>
      <c r="C41" s="32"/>
      <c r="D41" s="32"/>
      <c r="E41" s="58" t="str">
        <f>IF(tbAvaliacaoSLA[[#This Row],[Competência]]="","",DAY(EOMONTH(tbAvaliacaoSLA[[#This Row],[Competência]],0))*24)</f>
        <v/>
      </c>
      <c r="F41" s="34"/>
      <c r="G41" s="34">
        <v>0</v>
      </c>
      <c r="H41" s="35" t="str">
        <f t="shared" si="8"/>
        <v/>
      </c>
      <c r="I41" s="36" t="str">
        <f t="shared" si="7"/>
        <v/>
      </c>
      <c r="J41" s="36" t="str">
        <f t="shared" si="9"/>
        <v/>
      </c>
      <c r="K41" s="38" t="str">
        <f t="shared" si="10"/>
        <v/>
      </c>
      <c r="L41" s="38" t="str">
        <f>IF(tbAvaliacaoSLA[[#This Row],[Competência]]="","",Parâmetros!$C$4)</f>
        <v/>
      </c>
      <c r="M41" s="38" t="str">
        <f t="shared" si="11"/>
        <v/>
      </c>
      <c r="N41" s="39" t="str">
        <f>IF(M41="","",IF(Parâmetros!$C$7="INICIADA",ROUNDUP(M41/Parâmetros!$C$5,0),ROUNDDOWN(M41/Parâmetros!$C$5,0)))</f>
        <v/>
      </c>
      <c r="O41" s="39" t="str">
        <f>IF(N41="","",N41*Parâmetros!$C$6)</f>
        <v/>
      </c>
      <c r="P41" s="40" t="str">
        <f t="shared" si="12"/>
        <v/>
      </c>
      <c r="Q41" s="32"/>
    </row>
    <row r="42" spans="1:17" ht="15" customHeight="1" x14ac:dyDescent="0.2">
      <c r="A42" s="43"/>
      <c r="B42" s="43"/>
      <c r="C42" s="32"/>
      <c r="D42" s="32"/>
      <c r="E42" s="58" t="str">
        <f>IF(tbAvaliacaoSLA[[#This Row],[Competência]]="","",DAY(EOMONTH(tbAvaliacaoSLA[[#This Row],[Competência]],0))*24)</f>
        <v/>
      </c>
      <c r="F42" s="34"/>
      <c r="G42" s="34">
        <v>0</v>
      </c>
      <c r="H42" s="35" t="str">
        <f t="shared" si="8"/>
        <v/>
      </c>
      <c r="I42" s="36" t="str">
        <f t="shared" si="7"/>
        <v/>
      </c>
      <c r="J42" s="36" t="str">
        <f t="shared" si="9"/>
        <v/>
      </c>
      <c r="K42" s="38" t="str">
        <f t="shared" si="10"/>
        <v/>
      </c>
      <c r="L42" s="38" t="str">
        <f>IF(tbAvaliacaoSLA[[#This Row],[Competência]]="","",Parâmetros!$C$4)</f>
        <v/>
      </c>
      <c r="M42" s="38" t="str">
        <f t="shared" si="11"/>
        <v/>
      </c>
      <c r="N42" s="39" t="str">
        <f>IF(M42="","",IF(Parâmetros!$C$7="INICIADA",ROUNDUP(M42/Parâmetros!$C$5,0),ROUNDDOWN(M42/Parâmetros!$C$5,0)))</f>
        <v/>
      </c>
      <c r="O42" s="39" t="str">
        <f>IF(N42="","",N42*Parâmetros!$C$6)</f>
        <v/>
      </c>
      <c r="P42" s="40" t="str">
        <f t="shared" si="12"/>
        <v/>
      </c>
      <c r="Q42" s="32"/>
    </row>
    <row r="43" spans="1:17" ht="15" customHeight="1" x14ac:dyDescent="0.2">
      <c r="A43" s="43"/>
      <c r="B43" s="43"/>
      <c r="C43" s="32"/>
      <c r="D43" s="32"/>
      <c r="E43" s="58" t="str">
        <f>IF(tbAvaliacaoSLA[[#This Row],[Competência]]="","",DAY(EOMONTH(tbAvaliacaoSLA[[#This Row],[Competência]],0))*24)</f>
        <v/>
      </c>
      <c r="F43" s="34"/>
      <c r="G43" s="34">
        <v>0</v>
      </c>
      <c r="H43" s="35" t="str">
        <f t="shared" si="8"/>
        <v/>
      </c>
      <c r="I43" s="36" t="str">
        <f t="shared" si="7"/>
        <v/>
      </c>
      <c r="J43" s="36" t="str">
        <f t="shared" si="9"/>
        <v/>
      </c>
      <c r="K43" s="38" t="str">
        <f t="shared" si="10"/>
        <v/>
      </c>
      <c r="L43" s="38" t="str">
        <f>IF(tbAvaliacaoSLA[[#This Row],[Competência]]="","",Parâmetros!$C$4)</f>
        <v/>
      </c>
      <c r="M43" s="38" t="str">
        <f t="shared" si="11"/>
        <v/>
      </c>
      <c r="N43" s="39" t="str">
        <f>IF(M43="","",IF(Parâmetros!$C$7="INICIADA",ROUNDUP(M43/Parâmetros!$C$5,0),ROUNDDOWN(M43/Parâmetros!$C$5,0)))</f>
        <v/>
      </c>
      <c r="O43" s="39" t="str">
        <f>IF(N43="","",N43*Parâmetros!$C$6)</f>
        <v/>
      </c>
      <c r="P43" s="40" t="str">
        <f t="shared" si="12"/>
        <v/>
      </c>
      <c r="Q43" s="32"/>
    </row>
    <row r="44" spans="1:17" ht="15" customHeight="1" x14ac:dyDescent="0.2">
      <c r="A44" s="43"/>
      <c r="B44" s="43"/>
      <c r="C44" s="32"/>
      <c r="D44" s="32"/>
      <c r="E44" s="58" t="str">
        <f>IF(tbAvaliacaoSLA[[#This Row],[Competência]]="","",DAY(EOMONTH(tbAvaliacaoSLA[[#This Row],[Competência]],0))*24)</f>
        <v/>
      </c>
      <c r="F44" s="34"/>
      <c r="G44" s="34">
        <v>0</v>
      </c>
      <c r="H44" s="35" t="str">
        <f t="shared" si="8"/>
        <v/>
      </c>
      <c r="I44" s="36" t="str">
        <f t="shared" si="7"/>
        <v/>
      </c>
      <c r="J44" s="36" t="str">
        <f t="shared" si="9"/>
        <v/>
      </c>
      <c r="K44" s="38" t="str">
        <f t="shared" si="10"/>
        <v/>
      </c>
      <c r="L44" s="38" t="str">
        <f>IF(tbAvaliacaoSLA[[#This Row],[Competência]]="","",Parâmetros!$C$4)</f>
        <v/>
      </c>
      <c r="M44" s="38" t="str">
        <f t="shared" si="11"/>
        <v/>
      </c>
      <c r="N44" s="39" t="str">
        <f>IF(M44="","",IF(Parâmetros!$C$7="INICIADA",ROUNDUP(M44/Parâmetros!$C$5,0),ROUNDDOWN(M44/Parâmetros!$C$5,0)))</f>
        <v/>
      </c>
      <c r="O44" s="39" t="str">
        <f>IF(N44="","",N44*Parâmetros!$C$6)</f>
        <v/>
      </c>
      <c r="P44" s="40" t="str">
        <f t="shared" si="12"/>
        <v/>
      </c>
      <c r="Q44" s="32"/>
    </row>
    <row r="45" spans="1:17" ht="15" customHeight="1" x14ac:dyDescent="0.2">
      <c r="A45" s="43"/>
      <c r="B45" s="43"/>
      <c r="C45" s="32"/>
      <c r="D45" s="32"/>
      <c r="E45" s="58" t="str">
        <f>IF(tbAvaliacaoSLA[[#This Row],[Competência]]="","",DAY(EOMONTH(tbAvaliacaoSLA[[#This Row],[Competência]],0))*24)</f>
        <v/>
      </c>
      <c r="F45" s="34"/>
      <c r="G45" s="34">
        <v>0</v>
      </c>
      <c r="H45" s="35" t="str">
        <f t="shared" si="8"/>
        <v/>
      </c>
      <c r="I45" s="36" t="str">
        <f t="shared" si="7"/>
        <v/>
      </c>
      <c r="J45" s="36" t="str">
        <f t="shared" si="9"/>
        <v/>
      </c>
      <c r="K45" s="38" t="str">
        <f t="shared" si="10"/>
        <v/>
      </c>
      <c r="L45" s="38" t="str">
        <f>IF(tbAvaliacaoSLA[[#This Row],[Competência]]="","",Parâmetros!$C$4)</f>
        <v/>
      </c>
      <c r="M45" s="38" t="str">
        <f t="shared" si="11"/>
        <v/>
      </c>
      <c r="N45" s="39" t="str">
        <f>IF(M45="","",IF(Parâmetros!$C$7="INICIADA",ROUNDUP(M45/Parâmetros!$C$5,0),ROUNDDOWN(M45/Parâmetros!$C$5,0)))</f>
        <v/>
      </c>
      <c r="O45" s="39" t="str">
        <f>IF(N45="","",N45*Parâmetros!$C$6)</f>
        <v/>
      </c>
      <c r="P45" s="40" t="str">
        <f t="shared" si="12"/>
        <v/>
      </c>
      <c r="Q45" s="32"/>
    </row>
    <row r="46" spans="1:17" ht="15" customHeight="1" x14ac:dyDescent="0.2">
      <c r="A46" s="43"/>
      <c r="B46" s="43"/>
      <c r="C46" s="32"/>
      <c r="D46" s="32"/>
      <c r="E46" s="58" t="str">
        <f>IF(tbAvaliacaoSLA[[#This Row],[Competência]]="","",DAY(EOMONTH(tbAvaliacaoSLA[[#This Row],[Competência]],0))*24)</f>
        <v/>
      </c>
      <c r="F46" s="34"/>
      <c r="G46" s="34">
        <v>0</v>
      </c>
      <c r="H46" s="35" t="str">
        <f t="shared" si="8"/>
        <v/>
      </c>
      <c r="I46" s="36" t="str">
        <f t="shared" si="7"/>
        <v/>
      </c>
      <c r="J46" s="36" t="str">
        <f t="shared" si="9"/>
        <v/>
      </c>
      <c r="K46" s="38" t="str">
        <f t="shared" si="10"/>
        <v/>
      </c>
      <c r="L46" s="38" t="str">
        <f>IF(tbAvaliacaoSLA[[#This Row],[Competência]]="","",Parâmetros!$C$4)</f>
        <v/>
      </c>
      <c r="M46" s="38" t="str">
        <f t="shared" si="11"/>
        <v/>
      </c>
      <c r="N46" s="39" t="str">
        <f>IF(M46="","",IF(Parâmetros!$C$7="INICIADA",ROUNDUP(M46/Parâmetros!$C$5,0),ROUNDDOWN(M46/Parâmetros!$C$5,0)))</f>
        <v/>
      </c>
      <c r="O46" s="39" t="str">
        <f>IF(N46="","",N46*Parâmetros!$C$6)</f>
        <v/>
      </c>
      <c r="P46" s="40" t="str">
        <f t="shared" si="12"/>
        <v/>
      </c>
      <c r="Q46" s="32"/>
    </row>
    <row r="47" spans="1:17" ht="15" customHeight="1" x14ac:dyDescent="0.2">
      <c r="A47" s="43"/>
      <c r="B47" s="43"/>
      <c r="C47" s="32"/>
      <c r="D47" s="32"/>
      <c r="E47" s="58" t="str">
        <f>IF(tbAvaliacaoSLA[[#This Row],[Competência]]="","",DAY(EOMONTH(tbAvaliacaoSLA[[#This Row],[Competência]],0))*24)</f>
        <v/>
      </c>
      <c r="F47" s="34"/>
      <c r="G47" s="34">
        <v>0</v>
      </c>
      <c r="H47" s="35" t="str">
        <f t="shared" si="8"/>
        <v/>
      </c>
      <c r="I47" s="36" t="str">
        <f t="shared" si="7"/>
        <v/>
      </c>
      <c r="J47" s="36" t="str">
        <f t="shared" si="9"/>
        <v/>
      </c>
      <c r="K47" s="38" t="str">
        <f t="shared" si="10"/>
        <v/>
      </c>
      <c r="L47" s="38" t="str">
        <f>IF(tbAvaliacaoSLA[[#This Row],[Competência]]="","",Parâmetros!$C$4)</f>
        <v/>
      </c>
      <c r="M47" s="38" t="str">
        <f t="shared" si="11"/>
        <v/>
      </c>
      <c r="N47" s="39" t="str">
        <f>IF(M47="","",IF(Parâmetros!$C$7="INICIADA",ROUNDUP(M47/Parâmetros!$C$5,0),ROUNDDOWN(M47/Parâmetros!$C$5,0)))</f>
        <v/>
      </c>
      <c r="O47" s="39" t="str">
        <f>IF(N47="","",N47*Parâmetros!$C$6)</f>
        <v/>
      </c>
      <c r="P47" s="40" t="str">
        <f t="shared" si="12"/>
        <v/>
      </c>
      <c r="Q47" s="32"/>
    </row>
    <row r="48" spans="1:17" ht="15" customHeight="1" x14ac:dyDescent="0.2">
      <c r="A48" s="43"/>
      <c r="B48" s="43"/>
      <c r="C48" s="32"/>
      <c r="D48" s="32"/>
      <c r="E48" s="58" t="str">
        <f>IF(tbAvaliacaoSLA[[#This Row],[Competência]]="","",DAY(EOMONTH(tbAvaliacaoSLA[[#This Row],[Competência]],0))*24)</f>
        <v/>
      </c>
      <c r="F48" s="34"/>
      <c r="G48" s="34">
        <v>0</v>
      </c>
      <c r="H48" s="35" t="str">
        <f t="shared" si="8"/>
        <v/>
      </c>
      <c r="I48" s="36" t="str">
        <f t="shared" si="7"/>
        <v/>
      </c>
      <c r="J48" s="36" t="str">
        <f t="shared" si="9"/>
        <v/>
      </c>
      <c r="K48" s="38" t="str">
        <f t="shared" si="10"/>
        <v/>
      </c>
      <c r="L48" s="38" t="str">
        <f>IF(tbAvaliacaoSLA[[#This Row],[Competência]]="","",Parâmetros!$C$4)</f>
        <v/>
      </c>
      <c r="M48" s="38" t="str">
        <f t="shared" si="11"/>
        <v/>
      </c>
      <c r="N48" s="39" t="str">
        <f>IF(M48="","",IF(Parâmetros!$C$7="INICIADA",ROUNDUP(M48/Parâmetros!$C$5,0),ROUNDDOWN(M48/Parâmetros!$C$5,0)))</f>
        <v/>
      </c>
      <c r="O48" s="39" t="str">
        <f>IF(N48="","",N48*Parâmetros!$C$6)</f>
        <v/>
      </c>
      <c r="P48" s="40" t="str">
        <f t="shared" si="12"/>
        <v/>
      </c>
      <c r="Q48" s="32"/>
    </row>
    <row r="49" spans="1:17" ht="15" customHeight="1" x14ac:dyDescent="0.2">
      <c r="A49" s="43"/>
      <c r="B49" s="43"/>
      <c r="C49" s="32"/>
      <c r="D49" s="32"/>
      <c r="E49" s="58" t="str">
        <f>IF(tbAvaliacaoSLA[[#This Row],[Competência]]="","",DAY(EOMONTH(tbAvaliacaoSLA[[#This Row],[Competência]],0))*24)</f>
        <v/>
      </c>
      <c r="F49" s="34"/>
      <c r="G49" s="34">
        <v>0</v>
      </c>
      <c r="H49" s="35" t="str">
        <f t="shared" si="8"/>
        <v/>
      </c>
      <c r="I49" s="36" t="str">
        <f t="shared" si="7"/>
        <v/>
      </c>
      <c r="J49" s="36" t="str">
        <f t="shared" si="9"/>
        <v/>
      </c>
      <c r="K49" s="38" t="str">
        <f t="shared" si="10"/>
        <v/>
      </c>
      <c r="L49" s="38" t="str">
        <f>IF(tbAvaliacaoSLA[[#This Row],[Competência]]="","",Parâmetros!$C$4)</f>
        <v/>
      </c>
      <c r="M49" s="38" t="str">
        <f t="shared" si="11"/>
        <v/>
      </c>
      <c r="N49" s="39" t="str">
        <f>IF(M49="","",IF(Parâmetros!$C$7="INICIADA",ROUNDUP(M49/Parâmetros!$C$5,0),ROUNDDOWN(M49/Parâmetros!$C$5,0)))</f>
        <v/>
      </c>
      <c r="O49" s="39" t="str">
        <f>IF(N49="","",N49*Parâmetros!$C$6)</f>
        <v/>
      </c>
      <c r="P49" s="40" t="str">
        <f t="shared" si="12"/>
        <v/>
      </c>
      <c r="Q49" s="32"/>
    </row>
    <row r="50" spans="1:17" ht="15" customHeight="1" x14ac:dyDescent="0.2">
      <c r="A50" s="43"/>
      <c r="B50" s="43"/>
      <c r="C50" s="32"/>
      <c r="D50" s="32"/>
      <c r="E50" s="58" t="str">
        <f>IF(tbAvaliacaoSLA[[#This Row],[Competência]]="","",DAY(EOMONTH(tbAvaliacaoSLA[[#This Row],[Competência]],0))*24)</f>
        <v/>
      </c>
      <c r="F50" s="34"/>
      <c r="G50" s="34">
        <v>0</v>
      </c>
      <c r="H50" s="35" t="str">
        <f t="shared" si="8"/>
        <v/>
      </c>
      <c r="I50" s="36" t="str">
        <f t="shared" si="7"/>
        <v/>
      </c>
      <c r="J50" s="36" t="str">
        <f t="shared" si="9"/>
        <v/>
      </c>
      <c r="K50" s="38" t="str">
        <f t="shared" si="10"/>
        <v/>
      </c>
      <c r="L50" s="38" t="str">
        <f>IF(tbAvaliacaoSLA[[#This Row],[Competência]]="","",Parâmetros!$C$4)</f>
        <v/>
      </c>
      <c r="M50" s="38" t="str">
        <f t="shared" si="11"/>
        <v/>
      </c>
      <c r="N50" s="39" t="str">
        <f>IF(M50="","",IF(Parâmetros!$C$7="INICIADA",ROUNDUP(M50/Parâmetros!$C$5,0),ROUNDDOWN(M50/Parâmetros!$C$5,0)))</f>
        <v/>
      </c>
      <c r="O50" s="39" t="str">
        <f>IF(N50="","",N50*Parâmetros!$C$6)</f>
        <v/>
      </c>
      <c r="P50" s="40" t="str">
        <f t="shared" si="12"/>
        <v/>
      </c>
      <c r="Q50" s="32"/>
    </row>
    <row r="51" spans="1:17" ht="15" customHeight="1" x14ac:dyDescent="0.2">
      <c r="A51" s="43"/>
      <c r="B51" s="43"/>
      <c r="C51" s="32"/>
      <c r="D51" s="32"/>
      <c r="E51" s="58" t="str">
        <f>IF(tbAvaliacaoSLA[[#This Row],[Competência]]="","",DAY(EOMONTH(tbAvaliacaoSLA[[#This Row],[Competência]],0))*24)</f>
        <v/>
      </c>
      <c r="F51" s="34"/>
      <c r="G51" s="34">
        <v>0</v>
      </c>
      <c r="H51" s="35" t="str">
        <f t="shared" si="8"/>
        <v/>
      </c>
      <c r="I51" s="36" t="str">
        <f t="shared" si="7"/>
        <v/>
      </c>
      <c r="J51" s="36" t="str">
        <f t="shared" si="9"/>
        <v/>
      </c>
      <c r="K51" s="38" t="str">
        <f t="shared" si="10"/>
        <v/>
      </c>
      <c r="L51" s="38" t="str">
        <f>IF(tbAvaliacaoSLA[[#This Row],[Competência]]="","",Parâmetros!$C$4)</f>
        <v/>
      </c>
      <c r="M51" s="38" t="str">
        <f t="shared" si="11"/>
        <v/>
      </c>
      <c r="N51" s="39" t="str">
        <f>IF(M51="","",IF(Parâmetros!$C$7="INICIADA",ROUNDUP(M51/Parâmetros!$C$5,0),ROUNDDOWN(M51/Parâmetros!$C$5,0)))</f>
        <v/>
      </c>
      <c r="O51" s="39" t="str">
        <f>IF(N51="","",N51*Parâmetros!$C$6)</f>
        <v/>
      </c>
      <c r="P51" s="40" t="str">
        <f t="shared" si="12"/>
        <v/>
      </c>
      <c r="Q51" s="32"/>
    </row>
    <row r="52" spans="1:17" ht="15" customHeight="1" x14ac:dyDescent="0.2">
      <c r="A52" s="43"/>
      <c r="B52" s="43"/>
      <c r="C52" s="32"/>
      <c r="D52" s="32"/>
      <c r="E52" s="58" t="str">
        <f>IF(tbAvaliacaoSLA[[#This Row],[Competência]]="","",DAY(EOMONTH(tbAvaliacaoSLA[[#This Row],[Competência]],0))*24)</f>
        <v/>
      </c>
      <c r="F52" s="34"/>
      <c r="G52" s="34">
        <v>0</v>
      </c>
      <c r="H52" s="35" t="str">
        <f t="shared" si="8"/>
        <v/>
      </c>
      <c r="I52" s="36" t="str">
        <f t="shared" si="7"/>
        <v/>
      </c>
      <c r="J52" s="36" t="str">
        <f t="shared" si="9"/>
        <v/>
      </c>
      <c r="K52" s="38" t="str">
        <f t="shared" si="10"/>
        <v/>
      </c>
      <c r="L52" s="38" t="str">
        <f>IF(tbAvaliacaoSLA[[#This Row],[Competência]]="","",Parâmetros!$C$4)</f>
        <v/>
      </c>
      <c r="M52" s="38" t="str">
        <f t="shared" si="11"/>
        <v/>
      </c>
      <c r="N52" s="39" t="str">
        <f>IF(M52="","",IF(Parâmetros!$C$7="INICIADA",ROUNDUP(M52/Parâmetros!$C$5,0),ROUNDDOWN(M52/Parâmetros!$C$5,0)))</f>
        <v/>
      </c>
      <c r="O52" s="39" t="str">
        <f>IF(N52="","",N52*Parâmetros!$C$6)</f>
        <v/>
      </c>
      <c r="P52" s="40" t="str">
        <f t="shared" si="12"/>
        <v/>
      </c>
      <c r="Q52" s="32"/>
    </row>
    <row r="53" spans="1:17" ht="15" customHeight="1" x14ac:dyDescent="0.2">
      <c r="A53" s="43"/>
      <c r="B53" s="43"/>
      <c r="C53" s="32"/>
      <c r="D53" s="32"/>
      <c r="E53" s="58" t="str">
        <f>IF(tbAvaliacaoSLA[[#This Row],[Competência]]="","",DAY(EOMONTH(tbAvaliacaoSLA[[#This Row],[Competência]],0))*24)</f>
        <v/>
      </c>
      <c r="F53" s="34"/>
      <c r="G53" s="34">
        <v>0</v>
      </c>
      <c r="H53" s="35" t="str">
        <f t="shared" si="8"/>
        <v/>
      </c>
      <c r="I53" s="36" t="str">
        <f t="shared" si="7"/>
        <v/>
      </c>
      <c r="J53" s="36" t="str">
        <f t="shared" si="9"/>
        <v/>
      </c>
      <c r="K53" s="38" t="str">
        <f t="shared" si="10"/>
        <v/>
      </c>
      <c r="L53" s="38" t="str">
        <f>IF(tbAvaliacaoSLA[[#This Row],[Competência]]="","",Parâmetros!$C$4)</f>
        <v/>
      </c>
      <c r="M53" s="38" t="str">
        <f t="shared" si="11"/>
        <v/>
      </c>
      <c r="N53" s="39" t="str">
        <f>IF(M53="","",IF(Parâmetros!$C$7="INICIADA",ROUNDUP(M53/Parâmetros!$C$5,0),ROUNDDOWN(M53/Parâmetros!$C$5,0)))</f>
        <v/>
      </c>
      <c r="O53" s="39" t="str">
        <f>IF(N53="","",N53*Parâmetros!$C$6)</f>
        <v/>
      </c>
      <c r="P53" s="40" t="str">
        <f t="shared" si="12"/>
        <v/>
      </c>
      <c r="Q53" s="32"/>
    </row>
    <row r="54" spans="1:17" ht="15" customHeight="1" x14ac:dyDescent="0.2">
      <c r="A54" s="43"/>
      <c r="B54" s="43"/>
      <c r="C54" s="32"/>
      <c r="D54" s="32"/>
      <c r="E54" s="58" t="str">
        <f>IF(tbAvaliacaoSLA[[#This Row],[Competência]]="","",DAY(EOMONTH(tbAvaliacaoSLA[[#This Row],[Competência]],0))*24)</f>
        <v/>
      </c>
      <c r="F54" s="34"/>
      <c r="G54" s="34">
        <v>0</v>
      </c>
      <c r="H54" s="35" t="str">
        <f t="shared" si="8"/>
        <v/>
      </c>
      <c r="I54" s="36" t="str">
        <f t="shared" si="7"/>
        <v/>
      </c>
      <c r="J54" s="36" t="str">
        <f t="shared" si="9"/>
        <v/>
      </c>
      <c r="K54" s="38" t="str">
        <f t="shared" si="10"/>
        <v/>
      </c>
      <c r="L54" s="38" t="str">
        <f>IF(tbAvaliacaoSLA[[#This Row],[Competência]]="","",Parâmetros!$C$4)</f>
        <v/>
      </c>
      <c r="M54" s="38" t="str">
        <f t="shared" si="11"/>
        <v/>
      </c>
      <c r="N54" s="39" t="str">
        <f>IF(M54="","",IF(Parâmetros!$C$7="INICIADA",ROUNDUP(M54/Parâmetros!$C$5,0),ROUNDDOWN(M54/Parâmetros!$C$5,0)))</f>
        <v/>
      </c>
      <c r="O54" s="39" t="str">
        <f>IF(N54="","",N54*Parâmetros!$C$6)</f>
        <v/>
      </c>
      <c r="P54" s="40" t="str">
        <f t="shared" si="12"/>
        <v/>
      </c>
      <c r="Q54" s="32"/>
    </row>
    <row r="55" spans="1:17" ht="15" customHeight="1" x14ac:dyDescent="0.2">
      <c r="A55" s="43"/>
      <c r="B55" s="43"/>
      <c r="C55" s="32"/>
      <c r="D55" s="32"/>
      <c r="E55" s="58" t="str">
        <f>IF(tbAvaliacaoSLA[[#This Row],[Competência]]="","",DAY(EOMONTH(tbAvaliacaoSLA[[#This Row],[Competência]],0))*24)</f>
        <v/>
      </c>
      <c r="F55" s="34"/>
      <c r="G55" s="34">
        <v>0</v>
      </c>
      <c r="H55" s="35" t="str">
        <f t="shared" si="8"/>
        <v/>
      </c>
      <c r="I55" s="36" t="str">
        <f t="shared" si="7"/>
        <v/>
      </c>
      <c r="J55" s="36" t="str">
        <f t="shared" si="9"/>
        <v/>
      </c>
      <c r="K55" s="38" t="str">
        <f t="shared" si="10"/>
        <v/>
      </c>
      <c r="L55" s="38" t="str">
        <f>IF(tbAvaliacaoSLA[[#This Row],[Competência]]="","",Parâmetros!$C$4)</f>
        <v/>
      </c>
      <c r="M55" s="38" t="str">
        <f t="shared" si="11"/>
        <v/>
      </c>
      <c r="N55" s="39" t="str">
        <f>IF(M55="","",IF(Parâmetros!$C$7="INICIADA",ROUNDUP(M55/Parâmetros!$C$5,0),ROUNDDOWN(M55/Parâmetros!$C$5,0)))</f>
        <v/>
      </c>
      <c r="O55" s="39" t="str">
        <f>IF(N55="","",N55*Parâmetros!$C$6)</f>
        <v/>
      </c>
      <c r="P55" s="40" t="str">
        <f t="shared" si="12"/>
        <v/>
      </c>
      <c r="Q55" s="32"/>
    </row>
    <row r="56" spans="1:17" ht="15" customHeight="1" x14ac:dyDescent="0.2">
      <c r="A56" s="43"/>
      <c r="B56" s="43"/>
      <c r="C56" s="32"/>
      <c r="D56" s="32"/>
      <c r="E56" s="58" t="str">
        <f>IF(tbAvaliacaoSLA[[#This Row],[Competência]]="","",DAY(EOMONTH(tbAvaliacaoSLA[[#This Row],[Competência]],0))*24)</f>
        <v/>
      </c>
      <c r="F56" s="34"/>
      <c r="G56" s="34">
        <v>0</v>
      </c>
      <c r="H56" s="35" t="str">
        <f t="shared" si="8"/>
        <v/>
      </c>
      <c r="I56" s="36" t="str">
        <f t="shared" si="7"/>
        <v/>
      </c>
      <c r="J56" s="36" t="str">
        <f t="shared" si="9"/>
        <v/>
      </c>
      <c r="K56" s="38" t="str">
        <f t="shared" si="10"/>
        <v/>
      </c>
      <c r="L56" s="38" t="str">
        <f>IF(tbAvaliacaoSLA[[#This Row],[Competência]]="","",Parâmetros!$C$4)</f>
        <v/>
      </c>
      <c r="M56" s="38" t="str">
        <f t="shared" si="11"/>
        <v/>
      </c>
      <c r="N56" s="39" t="str">
        <f>IF(M56="","",IF(Parâmetros!$C$7="INICIADA",ROUNDUP(M56/Parâmetros!$C$5,0),ROUNDDOWN(M56/Parâmetros!$C$5,0)))</f>
        <v/>
      </c>
      <c r="O56" s="39" t="str">
        <f>IF(N56="","",N56*Parâmetros!$C$6)</f>
        <v/>
      </c>
      <c r="P56" s="40" t="str">
        <f t="shared" si="12"/>
        <v/>
      </c>
      <c r="Q56" s="32"/>
    </row>
    <row r="57" spans="1:17" ht="15" customHeight="1" x14ac:dyDescent="0.2">
      <c r="A57" s="43"/>
      <c r="B57" s="43"/>
      <c r="C57" s="32"/>
      <c r="D57" s="32"/>
      <c r="E57" s="58" t="str">
        <f>IF(tbAvaliacaoSLA[[#This Row],[Competência]]="","",DAY(EOMONTH(tbAvaliacaoSLA[[#This Row],[Competência]],0))*24)</f>
        <v/>
      </c>
      <c r="F57" s="34"/>
      <c r="G57" s="34">
        <v>0</v>
      </c>
      <c r="H57" s="35" t="str">
        <f t="shared" si="8"/>
        <v/>
      </c>
      <c r="I57" s="36" t="str">
        <f t="shared" si="7"/>
        <v/>
      </c>
      <c r="J57" s="36" t="str">
        <f t="shared" si="9"/>
        <v/>
      </c>
      <c r="K57" s="38" t="str">
        <f t="shared" si="10"/>
        <v/>
      </c>
      <c r="L57" s="38" t="str">
        <f>IF(tbAvaliacaoSLA[[#This Row],[Competência]]="","",Parâmetros!$C$4)</f>
        <v/>
      </c>
      <c r="M57" s="38" t="str">
        <f t="shared" si="11"/>
        <v/>
      </c>
      <c r="N57" s="39" t="str">
        <f>IF(M57="","",IF(Parâmetros!$C$7="INICIADA",ROUNDUP(M57/Parâmetros!$C$5,0),ROUNDDOWN(M57/Parâmetros!$C$5,0)))</f>
        <v/>
      </c>
      <c r="O57" s="39" t="str">
        <f>IF(N57="","",N57*Parâmetros!$C$6)</f>
        <v/>
      </c>
      <c r="P57" s="40" t="str">
        <f t="shared" si="12"/>
        <v/>
      </c>
      <c r="Q57" s="32"/>
    </row>
    <row r="58" spans="1:17" ht="15" customHeight="1" x14ac:dyDescent="0.2">
      <c r="A58" s="43"/>
      <c r="B58" s="43"/>
      <c r="C58" s="32"/>
      <c r="D58" s="32"/>
      <c r="E58" s="58" t="str">
        <f>IF(tbAvaliacaoSLA[[#This Row],[Competência]]="","",DAY(EOMONTH(tbAvaliacaoSLA[[#This Row],[Competência]],0))*24)</f>
        <v/>
      </c>
      <c r="F58" s="34"/>
      <c r="G58" s="34">
        <v>0</v>
      </c>
      <c r="H58" s="35" t="str">
        <f t="shared" si="8"/>
        <v/>
      </c>
      <c r="I58" s="36" t="str">
        <f t="shared" si="7"/>
        <v/>
      </c>
      <c r="J58" s="36" t="str">
        <f t="shared" si="9"/>
        <v/>
      </c>
      <c r="K58" s="38" t="str">
        <f t="shared" si="10"/>
        <v/>
      </c>
      <c r="L58" s="38" t="str">
        <f>IF(tbAvaliacaoSLA[[#This Row],[Competência]]="","",Parâmetros!$C$4)</f>
        <v/>
      </c>
      <c r="M58" s="38" t="str">
        <f t="shared" si="11"/>
        <v/>
      </c>
      <c r="N58" s="39" t="str">
        <f>IF(M58="","",IF(Parâmetros!$C$7="INICIADA",ROUNDUP(M58/Parâmetros!$C$5,0),ROUNDDOWN(M58/Parâmetros!$C$5,0)))</f>
        <v/>
      </c>
      <c r="O58" s="39" t="str">
        <f>IF(N58="","",N58*Parâmetros!$C$6)</f>
        <v/>
      </c>
      <c r="P58" s="40" t="str">
        <f t="shared" si="12"/>
        <v/>
      </c>
      <c r="Q58" s="32"/>
    </row>
    <row r="59" spans="1:17" ht="15" customHeight="1" x14ac:dyDescent="0.2">
      <c r="A59" s="43"/>
      <c r="B59" s="43"/>
      <c r="C59" s="32"/>
      <c r="D59" s="32"/>
      <c r="E59" s="58" t="str">
        <f>IF(tbAvaliacaoSLA[[#This Row],[Competência]]="","",DAY(EOMONTH(tbAvaliacaoSLA[[#This Row],[Competência]],0))*24)</f>
        <v/>
      </c>
      <c r="F59" s="34"/>
      <c r="G59" s="34">
        <v>0</v>
      </c>
      <c r="H59" s="35" t="str">
        <f t="shared" si="8"/>
        <v/>
      </c>
      <c r="I59" s="36" t="str">
        <f t="shared" si="7"/>
        <v/>
      </c>
      <c r="J59" s="36" t="str">
        <f t="shared" si="9"/>
        <v/>
      </c>
      <c r="K59" s="38" t="str">
        <f t="shared" si="10"/>
        <v/>
      </c>
      <c r="L59" s="38" t="str">
        <f>IF(tbAvaliacaoSLA[[#This Row],[Competência]]="","",Parâmetros!$C$4)</f>
        <v/>
      </c>
      <c r="M59" s="38" t="str">
        <f t="shared" si="11"/>
        <v/>
      </c>
      <c r="N59" s="39" t="str">
        <f>IF(M59="","",IF(Parâmetros!$C$7="INICIADA",ROUNDUP(M59/Parâmetros!$C$5,0),ROUNDDOWN(M59/Parâmetros!$C$5,0)))</f>
        <v/>
      </c>
      <c r="O59" s="39" t="str">
        <f>IF(N59="","",N59*Parâmetros!$C$6)</f>
        <v/>
      </c>
      <c r="P59" s="40" t="str">
        <f t="shared" si="12"/>
        <v/>
      </c>
      <c r="Q59" s="32"/>
    </row>
    <row r="60" spans="1:17" ht="15" customHeight="1" x14ac:dyDescent="0.2">
      <c r="A60" s="43"/>
      <c r="B60" s="43"/>
      <c r="C60" s="32"/>
      <c r="D60" s="32"/>
      <c r="E60" s="58" t="str">
        <f>IF(tbAvaliacaoSLA[[#This Row],[Competência]]="","",DAY(EOMONTH(tbAvaliacaoSLA[[#This Row],[Competência]],0))*24)</f>
        <v/>
      </c>
      <c r="F60" s="34"/>
      <c r="G60" s="34">
        <v>0</v>
      </c>
      <c r="H60" s="35" t="str">
        <f t="shared" si="8"/>
        <v/>
      </c>
      <c r="I60" s="36" t="str">
        <f t="shared" si="7"/>
        <v/>
      </c>
      <c r="J60" s="36" t="str">
        <f t="shared" si="9"/>
        <v/>
      </c>
      <c r="K60" s="38" t="str">
        <f t="shared" si="10"/>
        <v/>
      </c>
      <c r="L60" s="38" t="str">
        <f>IF(tbAvaliacaoSLA[[#This Row],[Competência]]="","",Parâmetros!$C$4)</f>
        <v/>
      </c>
      <c r="M60" s="38" t="str">
        <f t="shared" si="11"/>
        <v/>
      </c>
      <c r="N60" s="39" t="str">
        <f>IF(M60="","",IF(Parâmetros!$C$7="INICIADA",ROUNDUP(M60/Parâmetros!$C$5,0),ROUNDDOWN(M60/Parâmetros!$C$5,0)))</f>
        <v/>
      </c>
      <c r="O60" s="39" t="str">
        <f>IF(N60="","",N60*Parâmetros!$C$6)</f>
        <v/>
      </c>
      <c r="P60" s="40" t="str">
        <f t="shared" si="12"/>
        <v/>
      </c>
      <c r="Q60" s="32"/>
    </row>
    <row r="61" spans="1:17" ht="15" customHeight="1" x14ac:dyDescent="0.2">
      <c r="A61" s="43"/>
      <c r="B61" s="43"/>
      <c r="C61" s="32"/>
      <c r="D61" s="32"/>
      <c r="E61" s="58" t="str">
        <f>IF(tbAvaliacaoSLA[[#This Row],[Competência]]="","",DAY(EOMONTH(tbAvaliacaoSLA[[#This Row],[Competência]],0))*24)</f>
        <v/>
      </c>
      <c r="F61" s="34"/>
      <c r="G61" s="34">
        <v>0</v>
      </c>
      <c r="H61" s="35" t="str">
        <f t="shared" si="8"/>
        <v/>
      </c>
      <c r="I61" s="36" t="str">
        <f t="shared" si="7"/>
        <v/>
      </c>
      <c r="J61" s="36" t="str">
        <f t="shared" si="9"/>
        <v/>
      </c>
      <c r="K61" s="38" t="str">
        <f t="shared" si="10"/>
        <v/>
      </c>
      <c r="L61" s="38" t="str">
        <f>IF(tbAvaliacaoSLA[[#This Row],[Competência]]="","",Parâmetros!$C$4)</f>
        <v/>
      </c>
      <c r="M61" s="38" t="str">
        <f t="shared" si="11"/>
        <v/>
      </c>
      <c r="N61" s="39" t="str">
        <f>IF(M61="","",IF(Parâmetros!$C$7="INICIADA",ROUNDUP(M61/Parâmetros!$C$5,0),ROUNDDOWN(M61/Parâmetros!$C$5,0)))</f>
        <v/>
      </c>
      <c r="O61" s="39" t="str">
        <f>IF(N61="","",N61*Parâmetros!$C$6)</f>
        <v/>
      </c>
      <c r="P61" s="40" t="str">
        <f t="shared" si="12"/>
        <v/>
      </c>
      <c r="Q61" s="32"/>
    </row>
    <row r="62" spans="1:17" ht="15" customHeight="1" x14ac:dyDescent="0.2">
      <c r="A62" s="43"/>
      <c r="B62" s="43"/>
      <c r="C62" s="32"/>
      <c r="D62" s="32"/>
      <c r="E62" s="58" t="str">
        <f>IF(tbAvaliacaoSLA[[#This Row],[Competência]]="","",DAY(EOMONTH(tbAvaliacaoSLA[[#This Row],[Competência]],0))*24)</f>
        <v/>
      </c>
      <c r="F62" s="34"/>
      <c r="G62" s="34">
        <v>0</v>
      </c>
      <c r="H62" s="35" t="str">
        <f t="shared" si="8"/>
        <v/>
      </c>
      <c r="I62" s="36" t="str">
        <f t="shared" si="7"/>
        <v/>
      </c>
      <c r="J62" s="36" t="str">
        <f t="shared" si="9"/>
        <v/>
      </c>
      <c r="K62" s="38" t="str">
        <f t="shared" si="10"/>
        <v/>
      </c>
      <c r="L62" s="38" t="str">
        <f>IF(tbAvaliacaoSLA[[#This Row],[Competência]]="","",Parâmetros!$C$4)</f>
        <v/>
      </c>
      <c r="M62" s="38" t="str">
        <f t="shared" si="11"/>
        <v/>
      </c>
      <c r="N62" s="39" t="str">
        <f>IF(M62="","",IF(Parâmetros!$C$7="INICIADA",ROUNDUP(M62/Parâmetros!$C$5,0),ROUNDDOWN(M62/Parâmetros!$C$5,0)))</f>
        <v/>
      </c>
      <c r="O62" s="39" t="str">
        <f>IF(N62="","",N62*Parâmetros!$C$6)</f>
        <v/>
      </c>
      <c r="P62" s="40" t="str">
        <f t="shared" si="12"/>
        <v/>
      </c>
      <c r="Q62" s="32"/>
    </row>
    <row r="63" spans="1:17" ht="15" customHeight="1" x14ac:dyDescent="0.2">
      <c r="A63" s="43"/>
      <c r="B63" s="43"/>
      <c r="C63" s="32"/>
      <c r="D63" s="32"/>
      <c r="E63" s="58" t="str">
        <f>IF(tbAvaliacaoSLA[[#This Row],[Competência]]="","",DAY(EOMONTH(tbAvaliacaoSLA[[#This Row],[Competência]],0))*24)</f>
        <v/>
      </c>
      <c r="F63" s="34"/>
      <c r="G63" s="34">
        <v>0</v>
      </c>
      <c r="H63" s="35" t="str">
        <f t="shared" si="8"/>
        <v/>
      </c>
      <c r="I63" s="36" t="str">
        <f t="shared" si="7"/>
        <v/>
      </c>
      <c r="J63" s="36" t="str">
        <f t="shared" si="9"/>
        <v/>
      </c>
      <c r="K63" s="38" t="str">
        <f t="shared" si="10"/>
        <v/>
      </c>
      <c r="L63" s="38" t="str">
        <f>IF(tbAvaliacaoSLA[[#This Row],[Competência]]="","",Parâmetros!$C$4)</f>
        <v/>
      </c>
      <c r="M63" s="38" t="str">
        <f t="shared" si="11"/>
        <v/>
      </c>
      <c r="N63" s="39" t="str">
        <f>IF(M63="","",IF(Parâmetros!$C$7="INICIADA",ROUNDUP(M63/Parâmetros!$C$5,0),ROUNDDOWN(M63/Parâmetros!$C$5,0)))</f>
        <v/>
      </c>
      <c r="O63" s="39" t="str">
        <f>IF(N63="","",N63*Parâmetros!$C$6)</f>
        <v/>
      </c>
      <c r="P63" s="40" t="str">
        <f t="shared" si="12"/>
        <v/>
      </c>
      <c r="Q63" s="32"/>
    </row>
    <row r="64" spans="1:17" ht="15" customHeight="1" x14ac:dyDescent="0.2">
      <c r="A64" s="43"/>
      <c r="B64" s="43"/>
      <c r="C64" s="32"/>
      <c r="D64" s="32"/>
      <c r="E64" s="58" t="str">
        <f>IF(tbAvaliacaoSLA[[#This Row],[Competência]]="","",DAY(EOMONTH(tbAvaliacaoSLA[[#This Row],[Competência]],0))*24)</f>
        <v/>
      </c>
      <c r="F64" s="34"/>
      <c r="G64" s="34">
        <v>0</v>
      </c>
      <c r="H64" s="35" t="str">
        <f t="shared" si="8"/>
        <v/>
      </c>
      <c r="I64" s="36" t="str">
        <f t="shared" si="7"/>
        <v/>
      </c>
      <c r="J64" s="36" t="str">
        <f t="shared" si="9"/>
        <v/>
      </c>
      <c r="K64" s="38" t="str">
        <f t="shared" si="10"/>
        <v/>
      </c>
      <c r="L64" s="38" t="str">
        <f>IF(tbAvaliacaoSLA[[#This Row],[Competência]]="","",Parâmetros!$C$4)</f>
        <v/>
      </c>
      <c r="M64" s="38" t="str">
        <f t="shared" si="11"/>
        <v/>
      </c>
      <c r="N64" s="39" t="str">
        <f>IF(M64="","",IF(Parâmetros!$C$7="INICIADA",ROUNDUP(M64/Parâmetros!$C$5,0),ROUNDDOWN(M64/Parâmetros!$C$5,0)))</f>
        <v/>
      </c>
      <c r="O64" s="39" t="str">
        <f>IF(N64="","",N64*Parâmetros!$C$6)</f>
        <v/>
      </c>
      <c r="P64" s="40" t="str">
        <f t="shared" si="12"/>
        <v/>
      </c>
      <c r="Q64" s="32"/>
    </row>
    <row r="65" spans="1:17" ht="15" customHeight="1" x14ac:dyDescent="0.2">
      <c r="A65" s="43"/>
      <c r="B65" s="43"/>
      <c r="C65" s="32"/>
      <c r="D65" s="32"/>
      <c r="E65" s="58" t="str">
        <f>IF(tbAvaliacaoSLA[[#This Row],[Competência]]="","",DAY(EOMONTH(tbAvaliacaoSLA[[#This Row],[Competência]],0))*24)</f>
        <v/>
      </c>
      <c r="F65" s="34"/>
      <c r="G65" s="34">
        <v>0</v>
      </c>
      <c r="H65" s="35" t="str">
        <f t="shared" si="8"/>
        <v/>
      </c>
      <c r="I65" s="36" t="str">
        <f t="shared" si="7"/>
        <v/>
      </c>
      <c r="J65" s="36" t="str">
        <f t="shared" si="9"/>
        <v/>
      </c>
      <c r="K65" s="38" t="str">
        <f t="shared" si="10"/>
        <v/>
      </c>
      <c r="L65" s="38" t="str">
        <f>IF(tbAvaliacaoSLA[[#This Row],[Competência]]="","",Parâmetros!$C$4)</f>
        <v/>
      </c>
      <c r="M65" s="38" t="str">
        <f t="shared" si="11"/>
        <v/>
      </c>
      <c r="N65" s="39" t="str">
        <f>IF(M65="","",IF(Parâmetros!$C$7="INICIADA",ROUNDUP(M65/Parâmetros!$C$5,0),ROUNDDOWN(M65/Parâmetros!$C$5,0)))</f>
        <v/>
      </c>
      <c r="O65" s="39" t="str">
        <f>IF(N65="","",N65*Parâmetros!$C$6)</f>
        <v/>
      </c>
      <c r="P65" s="40" t="str">
        <f t="shared" si="12"/>
        <v/>
      </c>
      <c r="Q65" s="32"/>
    </row>
    <row r="66" spans="1:17" ht="15" customHeight="1" x14ac:dyDescent="0.2">
      <c r="A66" s="43"/>
      <c r="B66" s="43"/>
      <c r="C66" s="32"/>
      <c r="D66" s="32"/>
      <c r="E66" s="58" t="str">
        <f>IF(tbAvaliacaoSLA[[#This Row],[Competência]]="","",DAY(EOMONTH(tbAvaliacaoSLA[[#This Row],[Competência]],0))*24)</f>
        <v/>
      </c>
      <c r="F66" s="34"/>
      <c r="G66" s="34">
        <v>0</v>
      </c>
      <c r="H66" s="35" t="str">
        <f t="shared" si="8"/>
        <v/>
      </c>
      <c r="I66" s="36" t="str">
        <f t="shared" ref="I66:I97" si="13">IF(OR(E66="",F66="",G66=""),"",E66-F66-G66)</f>
        <v/>
      </c>
      <c r="J66" s="36" t="str">
        <f t="shared" si="9"/>
        <v/>
      </c>
      <c r="K66" s="38" t="str">
        <f t="shared" si="10"/>
        <v/>
      </c>
      <c r="L66" s="38" t="str">
        <f>IF(tbAvaliacaoSLA[[#This Row],[Competência]]="","",Parâmetros!$C$4)</f>
        <v/>
      </c>
      <c r="M66" s="38" t="str">
        <f t="shared" si="11"/>
        <v/>
      </c>
      <c r="N66" s="39" t="str">
        <f>IF(M66="","",IF(Parâmetros!$C$7="INICIADA",ROUNDUP(M66/Parâmetros!$C$5,0),ROUNDDOWN(M66/Parâmetros!$C$5,0)))</f>
        <v/>
      </c>
      <c r="O66" s="39" t="str">
        <f>IF(N66="","",N66*Parâmetros!$C$6)</f>
        <v/>
      </c>
      <c r="P66" s="40" t="str">
        <f t="shared" si="12"/>
        <v/>
      </c>
      <c r="Q66" s="32"/>
    </row>
    <row r="67" spans="1:17" ht="15" customHeight="1" x14ac:dyDescent="0.2">
      <c r="A67" s="43"/>
      <c r="B67" s="43"/>
      <c r="C67" s="32"/>
      <c r="D67" s="32"/>
      <c r="E67" s="58" t="str">
        <f>IF(tbAvaliacaoSLA[[#This Row],[Competência]]="","",DAY(EOMONTH(tbAvaliacaoSLA[[#This Row],[Competência]],0))*24)</f>
        <v/>
      </c>
      <c r="F67" s="34"/>
      <c r="G67" s="34">
        <v>0</v>
      </c>
      <c r="H67" s="35" t="str">
        <f t="shared" si="8"/>
        <v/>
      </c>
      <c r="I67" s="36" t="str">
        <f t="shared" si="13"/>
        <v/>
      </c>
      <c r="J67" s="36" t="str">
        <f t="shared" si="9"/>
        <v/>
      </c>
      <c r="K67" s="38" t="str">
        <f t="shared" si="10"/>
        <v/>
      </c>
      <c r="L67" s="38" t="str">
        <f>IF(tbAvaliacaoSLA[[#This Row],[Competência]]="","",Parâmetros!$C$4)</f>
        <v/>
      </c>
      <c r="M67" s="38" t="str">
        <f t="shared" si="11"/>
        <v/>
      </c>
      <c r="N67" s="39" t="str">
        <f>IF(M67="","",IF(Parâmetros!$C$7="INICIADA",ROUNDUP(M67/Parâmetros!$C$5,0),ROUNDDOWN(M67/Parâmetros!$C$5,0)))</f>
        <v/>
      </c>
      <c r="O67" s="39" t="str">
        <f>IF(N67="","",N67*Parâmetros!$C$6)</f>
        <v/>
      </c>
      <c r="P67" s="40" t="str">
        <f t="shared" si="12"/>
        <v/>
      </c>
      <c r="Q67" s="32"/>
    </row>
    <row r="68" spans="1:17" ht="15" customHeight="1" x14ac:dyDescent="0.2">
      <c r="A68" s="43"/>
      <c r="B68" s="43"/>
      <c r="C68" s="32"/>
      <c r="D68" s="32"/>
      <c r="E68" s="58" t="str">
        <f>IF(tbAvaliacaoSLA[[#This Row],[Competência]]="","",DAY(EOMONTH(tbAvaliacaoSLA[[#This Row],[Competência]],0))*24)</f>
        <v/>
      </c>
      <c r="F68" s="34"/>
      <c r="G68" s="34">
        <v>0</v>
      </c>
      <c r="H68" s="35" t="str">
        <f t="shared" si="8"/>
        <v/>
      </c>
      <c r="I68" s="36" t="str">
        <f t="shared" si="13"/>
        <v/>
      </c>
      <c r="J68" s="36" t="str">
        <f t="shared" si="9"/>
        <v/>
      </c>
      <c r="K68" s="38" t="str">
        <f t="shared" si="10"/>
        <v/>
      </c>
      <c r="L68" s="38" t="str">
        <f>IF(tbAvaliacaoSLA[[#This Row],[Competência]]="","",Parâmetros!$C$4)</f>
        <v/>
      </c>
      <c r="M68" s="38" t="str">
        <f t="shared" si="11"/>
        <v/>
      </c>
      <c r="N68" s="39" t="str">
        <f>IF(M68="","",IF(Parâmetros!$C$7="INICIADA",ROUNDUP(M68/Parâmetros!$C$5,0),ROUNDDOWN(M68/Parâmetros!$C$5,0)))</f>
        <v/>
      </c>
      <c r="O68" s="39" t="str">
        <f>IF(N68="","",N68*Parâmetros!$C$6)</f>
        <v/>
      </c>
      <c r="P68" s="40" t="str">
        <f t="shared" si="12"/>
        <v/>
      </c>
      <c r="Q68" s="32"/>
    </row>
    <row r="69" spans="1:17" ht="15" customHeight="1" x14ac:dyDescent="0.2">
      <c r="A69" s="43"/>
      <c r="B69" s="43"/>
      <c r="C69" s="32"/>
      <c r="D69" s="32"/>
      <c r="E69" s="58" t="str">
        <f>IF(tbAvaliacaoSLA[[#This Row],[Competência]]="","",DAY(EOMONTH(tbAvaliacaoSLA[[#This Row],[Competência]],0))*24)</f>
        <v/>
      </c>
      <c r="F69" s="34"/>
      <c r="G69" s="34">
        <v>0</v>
      </c>
      <c r="H69" s="35" t="str">
        <f t="shared" ref="H69:H100" si="14">IF(OR(E69="",D69=""),"",E69*D69)</f>
        <v/>
      </c>
      <c r="I69" s="36" t="str">
        <f t="shared" si="13"/>
        <v/>
      </c>
      <c r="J69" s="36" t="str">
        <f t="shared" ref="J69:J100" si="15">IF(OR(H69="",F69="",G69=""),"",H69-F69-G69)</f>
        <v/>
      </c>
      <c r="K69" s="38" t="str">
        <f t="shared" ref="K69:K100" si="16">IFERROR(J69/I69,"")</f>
        <v/>
      </c>
      <c r="L69" s="38" t="str">
        <f>IF(tbAvaliacaoSLA[[#This Row],[Competência]]="","",Parâmetros!$C$4)</f>
        <v/>
      </c>
      <c r="M69" s="38" t="str">
        <f t="shared" ref="M69:M100" si="17">IF(K69="","",MAX(0,L69-K69))</f>
        <v/>
      </c>
      <c r="N69" s="39" t="str">
        <f>IF(M69="","",IF(Parâmetros!$C$7="INICIADA",ROUNDUP(M69/Parâmetros!$C$5,0),ROUNDDOWN(M69/Parâmetros!$C$5,0)))</f>
        <v/>
      </c>
      <c r="O69" s="39" t="str">
        <f>IF(N69="","",N69*Parâmetros!$C$6)</f>
        <v/>
      </c>
      <c r="P69" s="40" t="str">
        <f t="shared" ref="P69:P100" si="18">IF(K69="","",IF(OR(I69&lt;=0,J69&lt;0,J69&gt;I69),"REVISAR DADOS",IF(K69&gt;=L69,"ATENDIDO","NÃO ATENDIDO")))</f>
        <v/>
      </c>
      <c r="Q69" s="32"/>
    </row>
    <row r="70" spans="1:17" ht="15" customHeight="1" x14ac:dyDescent="0.2">
      <c r="A70" s="43"/>
      <c r="B70" s="43"/>
      <c r="C70" s="32"/>
      <c r="D70" s="32"/>
      <c r="E70" s="58" t="str">
        <f>IF(tbAvaliacaoSLA[[#This Row],[Competência]]="","",DAY(EOMONTH(tbAvaliacaoSLA[[#This Row],[Competência]],0))*24)</f>
        <v/>
      </c>
      <c r="F70" s="34"/>
      <c r="G70" s="34">
        <v>0</v>
      </c>
      <c r="H70" s="35" t="str">
        <f t="shared" si="14"/>
        <v/>
      </c>
      <c r="I70" s="36" t="str">
        <f t="shared" si="13"/>
        <v/>
      </c>
      <c r="J70" s="36" t="str">
        <f t="shared" si="15"/>
        <v/>
      </c>
      <c r="K70" s="38" t="str">
        <f t="shared" si="16"/>
        <v/>
      </c>
      <c r="L70" s="38" t="str">
        <f>IF(tbAvaliacaoSLA[[#This Row],[Competência]]="","",Parâmetros!$C$4)</f>
        <v/>
      </c>
      <c r="M70" s="38" t="str">
        <f t="shared" si="17"/>
        <v/>
      </c>
      <c r="N70" s="39" t="str">
        <f>IF(M70="","",IF(Parâmetros!$C$7="INICIADA",ROUNDUP(M70/Parâmetros!$C$5,0),ROUNDDOWN(M70/Parâmetros!$C$5,0)))</f>
        <v/>
      </c>
      <c r="O70" s="39" t="str">
        <f>IF(N70="","",N70*Parâmetros!$C$6)</f>
        <v/>
      </c>
      <c r="P70" s="40" t="str">
        <f t="shared" si="18"/>
        <v/>
      </c>
      <c r="Q70" s="32"/>
    </row>
    <row r="71" spans="1:17" ht="15" customHeight="1" x14ac:dyDescent="0.2">
      <c r="A71" s="43"/>
      <c r="B71" s="43"/>
      <c r="C71" s="32"/>
      <c r="D71" s="32"/>
      <c r="E71" s="58" t="str">
        <f>IF(tbAvaliacaoSLA[[#This Row],[Competência]]="","",DAY(EOMONTH(tbAvaliacaoSLA[[#This Row],[Competência]],0))*24)</f>
        <v/>
      </c>
      <c r="F71" s="34"/>
      <c r="G71" s="34">
        <v>0</v>
      </c>
      <c r="H71" s="35" t="str">
        <f t="shared" si="14"/>
        <v/>
      </c>
      <c r="I71" s="36" t="str">
        <f t="shared" si="13"/>
        <v/>
      </c>
      <c r="J71" s="36" t="str">
        <f t="shared" si="15"/>
        <v/>
      </c>
      <c r="K71" s="38" t="str">
        <f t="shared" si="16"/>
        <v/>
      </c>
      <c r="L71" s="38" t="str">
        <f>IF(tbAvaliacaoSLA[[#This Row],[Competência]]="","",Parâmetros!$C$4)</f>
        <v/>
      </c>
      <c r="M71" s="38" t="str">
        <f t="shared" si="17"/>
        <v/>
      </c>
      <c r="N71" s="39" t="str">
        <f>IF(M71="","",IF(Parâmetros!$C$7="INICIADA",ROUNDUP(M71/Parâmetros!$C$5,0),ROUNDDOWN(M71/Parâmetros!$C$5,0)))</f>
        <v/>
      </c>
      <c r="O71" s="39" t="str">
        <f>IF(N71="","",N71*Parâmetros!$C$6)</f>
        <v/>
      </c>
      <c r="P71" s="40" t="str">
        <f t="shared" si="18"/>
        <v/>
      </c>
      <c r="Q71" s="32"/>
    </row>
    <row r="72" spans="1:17" ht="15" customHeight="1" x14ac:dyDescent="0.2">
      <c r="A72" s="43"/>
      <c r="B72" s="43"/>
      <c r="C72" s="32"/>
      <c r="D72" s="32"/>
      <c r="E72" s="58" t="str">
        <f>IF(tbAvaliacaoSLA[[#This Row],[Competência]]="","",DAY(EOMONTH(tbAvaliacaoSLA[[#This Row],[Competência]],0))*24)</f>
        <v/>
      </c>
      <c r="F72" s="34"/>
      <c r="G72" s="34">
        <v>0</v>
      </c>
      <c r="H72" s="35" t="str">
        <f t="shared" si="14"/>
        <v/>
      </c>
      <c r="I72" s="36" t="str">
        <f t="shared" si="13"/>
        <v/>
      </c>
      <c r="J72" s="36" t="str">
        <f t="shared" si="15"/>
        <v/>
      </c>
      <c r="K72" s="38" t="str">
        <f t="shared" si="16"/>
        <v/>
      </c>
      <c r="L72" s="38" t="str">
        <f>IF(tbAvaliacaoSLA[[#This Row],[Competência]]="","",Parâmetros!$C$4)</f>
        <v/>
      </c>
      <c r="M72" s="38" t="str">
        <f t="shared" si="17"/>
        <v/>
      </c>
      <c r="N72" s="39" t="str">
        <f>IF(M72="","",IF(Parâmetros!$C$7="INICIADA",ROUNDUP(M72/Parâmetros!$C$5,0),ROUNDDOWN(M72/Parâmetros!$C$5,0)))</f>
        <v/>
      </c>
      <c r="O72" s="39" t="str">
        <f>IF(N72="","",N72*Parâmetros!$C$6)</f>
        <v/>
      </c>
      <c r="P72" s="40" t="str">
        <f t="shared" si="18"/>
        <v/>
      </c>
      <c r="Q72" s="32"/>
    </row>
    <row r="73" spans="1:17" ht="15" customHeight="1" x14ac:dyDescent="0.2">
      <c r="A73" s="43"/>
      <c r="B73" s="43"/>
      <c r="C73" s="32"/>
      <c r="D73" s="32"/>
      <c r="E73" s="58" t="str">
        <f>IF(tbAvaliacaoSLA[[#This Row],[Competência]]="","",DAY(EOMONTH(tbAvaliacaoSLA[[#This Row],[Competência]],0))*24)</f>
        <v/>
      </c>
      <c r="F73" s="34"/>
      <c r="G73" s="34">
        <v>0</v>
      </c>
      <c r="H73" s="35" t="str">
        <f t="shared" si="14"/>
        <v/>
      </c>
      <c r="I73" s="36" t="str">
        <f t="shared" si="13"/>
        <v/>
      </c>
      <c r="J73" s="36" t="str">
        <f t="shared" si="15"/>
        <v/>
      </c>
      <c r="K73" s="38" t="str">
        <f t="shared" si="16"/>
        <v/>
      </c>
      <c r="L73" s="38" t="str">
        <f>IF(tbAvaliacaoSLA[[#This Row],[Competência]]="","",Parâmetros!$C$4)</f>
        <v/>
      </c>
      <c r="M73" s="38" t="str">
        <f t="shared" si="17"/>
        <v/>
      </c>
      <c r="N73" s="39" t="str">
        <f>IF(M73="","",IF(Parâmetros!$C$7="INICIADA",ROUNDUP(M73/Parâmetros!$C$5,0),ROUNDDOWN(M73/Parâmetros!$C$5,0)))</f>
        <v/>
      </c>
      <c r="O73" s="39" t="str">
        <f>IF(N73="","",N73*Parâmetros!$C$6)</f>
        <v/>
      </c>
      <c r="P73" s="40" t="str">
        <f t="shared" si="18"/>
        <v/>
      </c>
      <c r="Q73" s="32"/>
    </row>
    <row r="74" spans="1:17" ht="15" customHeight="1" x14ac:dyDescent="0.2">
      <c r="A74" s="43"/>
      <c r="B74" s="43"/>
      <c r="C74" s="32"/>
      <c r="D74" s="32"/>
      <c r="E74" s="58" t="str">
        <f>IF(tbAvaliacaoSLA[[#This Row],[Competência]]="","",DAY(EOMONTH(tbAvaliacaoSLA[[#This Row],[Competência]],0))*24)</f>
        <v/>
      </c>
      <c r="F74" s="34"/>
      <c r="G74" s="34">
        <v>0</v>
      </c>
      <c r="H74" s="35" t="str">
        <f t="shared" si="14"/>
        <v/>
      </c>
      <c r="I74" s="36" t="str">
        <f t="shared" si="13"/>
        <v/>
      </c>
      <c r="J74" s="36" t="str">
        <f t="shared" si="15"/>
        <v/>
      </c>
      <c r="K74" s="38" t="str">
        <f t="shared" si="16"/>
        <v/>
      </c>
      <c r="L74" s="38" t="str">
        <f>IF(tbAvaliacaoSLA[[#This Row],[Competência]]="","",Parâmetros!$C$4)</f>
        <v/>
      </c>
      <c r="M74" s="38" t="str">
        <f t="shared" si="17"/>
        <v/>
      </c>
      <c r="N74" s="39" t="str">
        <f>IF(M74="","",IF(Parâmetros!$C$7="INICIADA",ROUNDUP(M74/Parâmetros!$C$5,0),ROUNDDOWN(M74/Parâmetros!$C$5,0)))</f>
        <v/>
      </c>
      <c r="O74" s="39" t="str">
        <f>IF(N74="","",N74*Parâmetros!$C$6)</f>
        <v/>
      </c>
      <c r="P74" s="40" t="str">
        <f t="shared" si="18"/>
        <v/>
      </c>
      <c r="Q74" s="32"/>
    </row>
    <row r="75" spans="1:17" ht="15" customHeight="1" x14ac:dyDescent="0.2">
      <c r="A75" s="43"/>
      <c r="B75" s="43"/>
      <c r="C75" s="32"/>
      <c r="D75" s="32"/>
      <c r="E75" s="58" t="str">
        <f>IF(tbAvaliacaoSLA[[#This Row],[Competência]]="","",DAY(EOMONTH(tbAvaliacaoSLA[[#This Row],[Competência]],0))*24)</f>
        <v/>
      </c>
      <c r="F75" s="34"/>
      <c r="G75" s="34">
        <v>0</v>
      </c>
      <c r="H75" s="35" t="str">
        <f t="shared" si="14"/>
        <v/>
      </c>
      <c r="I75" s="36" t="str">
        <f t="shared" si="13"/>
        <v/>
      </c>
      <c r="J75" s="36" t="str">
        <f t="shared" si="15"/>
        <v/>
      </c>
      <c r="K75" s="38" t="str">
        <f t="shared" si="16"/>
        <v/>
      </c>
      <c r="L75" s="38" t="str">
        <f>IF(tbAvaliacaoSLA[[#This Row],[Competência]]="","",Parâmetros!$C$4)</f>
        <v/>
      </c>
      <c r="M75" s="38" t="str">
        <f t="shared" si="17"/>
        <v/>
      </c>
      <c r="N75" s="39" t="str">
        <f>IF(M75="","",IF(Parâmetros!$C$7="INICIADA",ROUNDUP(M75/Parâmetros!$C$5,0),ROUNDDOWN(M75/Parâmetros!$C$5,0)))</f>
        <v/>
      </c>
      <c r="O75" s="39" t="str">
        <f>IF(N75="","",N75*Parâmetros!$C$6)</f>
        <v/>
      </c>
      <c r="P75" s="40" t="str">
        <f t="shared" si="18"/>
        <v/>
      </c>
      <c r="Q75" s="32"/>
    </row>
    <row r="76" spans="1:17" ht="15" customHeight="1" x14ac:dyDescent="0.2">
      <c r="A76" s="43"/>
      <c r="B76" s="43"/>
      <c r="C76" s="32"/>
      <c r="D76" s="32"/>
      <c r="E76" s="58" t="str">
        <f>IF(tbAvaliacaoSLA[[#This Row],[Competência]]="","",DAY(EOMONTH(tbAvaliacaoSLA[[#This Row],[Competência]],0))*24)</f>
        <v/>
      </c>
      <c r="F76" s="34"/>
      <c r="G76" s="34">
        <v>0</v>
      </c>
      <c r="H76" s="35" t="str">
        <f t="shared" si="14"/>
        <v/>
      </c>
      <c r="I76" s="36" t="str">
        <f t="shared" si="13"/>
        <v/>
      </c>
      <c r="J76" s="36" t="str">
        <f t="shared" si="15"/>
        <v/>
      </c>
      <c r="K76" s="38" t="str">
        <f t="shared" si="16"/>
        <v/>
      </c>
      <c r="L76" s="38" t="str">
        <f>IF(tbAvaliacaoSLA[[#This Row],[Competência]]="","",Parâmetros!$C$4)</f>
        <v/>
      </c>
      <c r="M76" s="38" t="str">
        <f t="shared" si="17"/>
        <v/>
      </c>
      <c r="N76" s="39" t="str">
        <f>IF(M76="","",IF(Parâmetros!$C$7="INICIADA",ROUNDUP(M76/Parâmetros!$C$5,0),ROUNDDOWN(M76/Parâmetros!$C$5,0)))</f>
        <v/>
      </c>
      <c r="O76" s="39" t="str">
        <f>IF(N76="","",N76*Parâmetros!$C$6)</f>
        <v/>
      </c>
      <c r="P76" s="40" t="str">
        <f t="shared" si="18"/>
        <v/>
      </c>
      <c r="Q76" s="32"/>
    </row>
    <row r="77" spans="1:17" ht="15" customHeight="1" x14ac:dyDescent="0.2">
      <c r="A77" s="43"/>
      <c r="B77" s="43"/>
      <c r="C77" s="32"/>
      <c r="D77" s="32"/>
      <c r="E77" s="58" t="str">
        <f>IF(tbAvaliacaoSLA[[#This Row],[Competência]]="","",DAY(EOMONTH(tbAvaliacaoSLA[[#This Row],[Competência]],0))*24)</f>
        <v/>
      </c>
      <c r="F77" s="34"/>
      <c r="G77" s="34">
        <v>0</v>
      </c>
      <c r="H77" s="35" t="str">
        <f t="shared" si="14"/>
        <v/>
      </c>
      <c r="I77" s="36" t="str">
        <f t="shared" si="13"/>
        <v/>
      </c>
      <c r="J77" s="36" t="str">
        <f t="shared" si="15"/>
        <v/>
      </c>
      <c r="K77" s="38" t="str">
        <f t="shared" si="16"/>
        <v/>
      </c>
      <c r="L77" s="38" t="str">
        <f>IF(tbAvaliacaoSLA[[#This Row],[Competência]]="","",Parâmetros!$C$4)</f>
        <v/>
      </c>
      <c r="M77" s="38" t="str">
        <f t="shared" si="17"/>
        <v/>
      </c>
      <c r="N77" s="39" t="str">
        <f>IF(M77="","",IF(Parâmetros!$C$7="INICIADA",ROUNDUP(M77/Parâmetros!$C$5,0),ROUNDDOWN(M77/Parâmetros!$C$5,0)))</f>
        <v/>
      </c>
      <c r="O77" s="39" t="str">
        <f>IF(N77="","",N77*Parâmetros!$C$6)</f>
        <v/>
      </c>
      <c r="P77" s="40" t="str">
        <f t="shared" si="18"/>
        <v/>
      </c>
      <c r="Q77" s="32"/>
    </row>
    <row r="78" spans="1:17" ht="15" customHeight="1" x14ac:dyDescent="0.2">
      <c r="A78" s="43"/>
      <c r="B78" s="43"/>
      <c r="C78" s="32"/>
      <c r="D78" s="32"/>
      <c r="E78" s="58" t="str">
        <f>IF(tbAvaliacaoSLA[[#This Row],[Competência]]="","",DAY(EOMONTH(tbAvaliacaoSLA[[#This Row],[Competência]],0))*24)</f>
        <v/>
      </c>
      <c r="F78" s="34"/>
      <c r="G78" s="34">
        <v>0</v>
      </c>
      <c r="H78" s="35" t="str">
        <f t="shared" si="14"/>
        <v/>
      </c>
      <c r="I78" s="36" t="str">
        <f t="shared" si="13"/>
        <v/>
      </c>
      <c r="J78" s="36" t="str">
        <f t="shared" si="15"/>
        <v/>
      </c>
      <c r="K78" s="38" t="str">
        <f t="shared" si="16"/>
        <v/>
      </c>
      <c r="L78" s="38" t="str">
        <f>IF(tbAvaliacaoSLA[[#This Row],[Competência]]="","",Parâmetros!$C$4)</f>
        <v/>
      </c>
      <c r="M78" s="38" t="str">
        <f t="shared" si="17"/>
        <v/>
      </c>
      <c r="N78" s="39" t="str">
        <f>IF(M78="","",IF(Parâmetros!$C$7="INICIADA",ROUNDUP(M78/Parâmetros!$C$5,0),ROUNDDOWN(M78/Parâmetros!$C$5,0)))</f>
        <v/>
      </c>
      <c r="O78" s="39" t="str">
        <f>IF(N78="","",N78*Parâmetros!$C$6)</f>
        <v/>
      </c>
      <c r="P78" s="40" t="str">
        <f t="shared" si="18"/>
        <v/>
      </c>
      <c r="Q78" s="32"/>
    </row>
    <row r="79" spans="1:17" ht="15" customHeight="1" x14ac:dyDescent="0.2">
      <c r="A79" s="43"/>
      <c r="B79" s="43"/>
      <c r="C79" s="32"/>
      <c r="D79" s="32"/>
      <c r="E79" s="58" t="str">
        <f>IF(tbAvaliacaoSLA[[#This Row],[Competência]]="","",DAY(EOMONTH(tbAvaliacaoSLA[[#This Row],[Competência]],0))*24)</f>
        <v/>
      </c>
      <c r="F79" s="34"/>
      <c r="G79" s="34">
        <v>0</v>
      </c>
      <c r="H79" s="35" t="str">
        <f t="shared" si="14"/>
        <v/>
      </c>
      <c r="I79" s="36" t="str">
        <f t="shared" si="13"/>
        <v/>
      </c>
      <c r="J79" s="36" t="str">
        <f t="shared" si="15"/>
        <v/>
      </c>
      <c r="K79" s="38" t="str">
        <f t="shared" si="16"/>
        <v/>
      </c>
      <c r="L79" s="38" t="str">
        <f>IF(tbAvaliacaoSLA[[#This Row],[Competência]]="","",Parâmetros!$C$4)</f>
        <v/>
      </c>
      <c r="M79" s="38" t="str">
        <f t="shared" si="17"/>
        <v/>
      </c>
      <c r="N79" s="39" t="str">
        <f>IF(M79="","",IF(Parâmetros!$C$7="INICIADA",ROUNDUP(M79/Parâmetros!$C$5,0),ROUNDDOWN(M79/Parâmetros!$C$5,0)))</f>
        <v/>
      </c>
      <c r="O79" s="39" t="str">
        <f>IF(N79="","",N79*Parâmetros!$C$6)</f>
        <v/>
      </c>
      <c r="P79" s="40" t="str">
        <f t="shared" si="18"/>
        <v/>
      </c>
      <c r="Q79" s="32"/>
    </row>
    <row r="80" spans="1:17" ht="15" customHeight="1" x14ac:dyDescent="0.2">
      <c r="A80" s="43"/>
      <c r="B80" s="43"/>
      <c r="C80" s="32"/>
      <c r="D80" s="32"/>
      <c r="E80" s="58" t="str">
        <f>IF(tbAvaliacaoSLA[[#This Row],[Competência]]="","",DAY(EOMONTH(tbAvaliacaoSLA[[#This Row],[Competência]],0))*24)</f>
        <v/>
      </c>
      <c r="F80" s="34"/>
      <c r="G80" s="34">
        <v>0</v>
      </c>
      <c r="H80" s="35" t="str">
        <f t="shared" si="14"/>
        <v/>
      </c>
      <c r="I80" s="36" t="str">
        <f t="shared" si="13"/>
        <v/>
      </c>
      <c r="J80" s="36" t="str">
        <f t="shared" si="15"/>
        <v/>
      </c>
      <c r="K80" s="38" t="str">
        <f t="shared" si="16"/>
        <v/>
      </c>
      <c r="L80" s="38" t="str">
        <f>IF(tbAvaliacaoSLA[[#This Row],[Competência]]="","",Parâmetros!$C$4)</f>
        <v/>
      </c>
      <c r="M80" s="38" t="str">
        <f t="shared" si="17"/>
        <v/>
      </c>
      <c r="N80" s="39" t="str">
        <f>IF(M80="","",IF(Parâmetros!$C$7="INICIADA",ROUNDUP(M80/Parâmetros!$C$5,0),ROUNDDOWN(M80/Parâmetros!$C$5,0)))</f>
        <v/>
      </c>
      <c r="O80" s="39" t="str">
        <f>IF(N80="","",N80*Parâmetros!$C$6)</f>
        <v/>
      </c>
      <c r="P80" s="40" t="str">
        <f t="shared" si="18"/>
        <v/>
      </c>
      <c r="Q80" s="32"/>
    </row>
    <row r="81" spans="1:17" ht="15" customHeight="1" x14ac:dyDescent="0.2">
      <c r="A81" s="43"/>
      <c r="B81" s="43"/>
      <c r="C81" s="32"/>
      <c r="D81" s="32"/>
      <c r="E81" s="58" t="str">
        <f>IF(tbAvaliacaoSLA[[#This Row],[Competência]]="","",DAY(EOMONTH(tbAvaliacaoSLA[[#This Row],[Competência]],0))*24)</f>
        <v/>
      </c>
      <c r="F81" s="34"/>
      <c r="G81" s="34">
        <v>0</v>
      </c>
      <c r="H81" s="35" t="str">
        <f t="shared" si="14"/>
        <v/>
      </c>
      <c r="I81" s="36" t="str">
        <f t="shared" si="13"/>
        <v/>
      </c>
      <c r="J81" s="36" t="str">
        <f t="shared" si="15"/>
        <v/>
      </c>
      <c r="K81" s="38" t="str">
        <f t="shared" si="16"/>
        <v/>
      </c>
      <c r="L81" s="38" t="str">
        <f>IF(tbAvaliacaoSLA[[#This Row],[Competência]]="","",Parâmetros!$C$4)</f>
        <v/>
      </c>
      <c r="M81" s="38" t="str">
        <f t="shared" si="17"/>
        <v/>
      </c>
      <c r="N81" s="39" t="str">
        <f>IF(M81="","",IF(Parâmetros!$C$7="INICIADA",ROUNDUP(M81/Parâmetros!$C$5,0),ROUNDDOWN(M81/Parâmetros!$C$5,0)))</f>
        <v/>
      </c>
      <c r="O81" s="39" t="str">
        <f>IF(N81="","",N81*Parâmetros!$C$6)</f>
        <v/>
      </c>
      <c r="P81" s="40" t="str">
        <f t="shared" si="18"/>
        <v/>
      </c>
      <c r="Q81" s="32"/>
    </row>
    <row r="82" spans="1:17" ht="15" customHeight="1" x14ac:dyDescent="0.2">
      <c r="A82" s="43"/>
      <c r="B82" s="43"/>
      <c r="C82" s="32"/>
      <c r="D82" s="32"/>
      <c r="E82" s="58" t="str">
        <f>IF(tbAvaliacaoSLA[[#This Row],[Competência]]="","",DAY(EOMONTH(tbAvaliacaoSLA[[#This Row],[Competência]],0))*24)</f>
        <v/>
      </c>
      <c r="F82" s="34"/>
      <c r="G82" s="34">
        <v>0</v>
      </c>
      <c r="H82" s="35" t="str">
        <f t="shared" si="14"/>
        <v/>
      </c>
      <c r="I82" s="36" t="str">
        <f t="shared" si="13"/>
        <v/>
      </c>
      <c r="J82" s="36" t="str">
        <f t="shared" si="15"/>
        <v/>
      </c>
      <c r="K82" s="38" t="str">
        <f t="shared" si="16"/>
        <v/>
      </c>
      <c r="L82" s="38" t="str">
        <f>IF(tbAvaliacaoSLA[[#This Row],[Competência]]="","",Parâmetros!$C$4)</f>
        <v/>
      </c>
      <c r="M82" s="38" t="str">
        <f t="shared" si="17"/>
        <v/>
      </c>
      <c r="N82" s="39" t="str">
        <f>IF(M82="","",IF(Parâmetros!$C$7="INICIADA",ROUNDUP(M82/Parâmetros!$C$5,0),ROUNDDOWN(M82/Parâmetros!$C$5,0)))</f>
        <v/>
      </c>
      <c r="O82" s="39" t="str">
        <f>IF(N82="","",N82*Parâmetros!$C$6)</f>
        <v/>
      </c>
      <c r="P82" s="40" t="str">
        <f t="shared" si="18"/>
        <v/>
      </c>
      <c r="Q82" s="32"/>
    </row>
    <row r="83" spans="1:17" ht="15" customHeight="1" x14ac:dyDescent="0.2">
      <c r="A83" s="43"/>
      <c r="B83" s="43"/>
      <c r="C83" s="32"/>
      <c r="D83" s="32"/>
      <c r="E83" s="58" t="str">
        <f>IF(tbAvaliacaoSLA[[#This Row],[Competência]]="","",DAY(EOMONTH(tbAvaliacaoSLA[[#This Row],[Competência]],0))*24)</f>
        <v/>
      </c>
      <c r="F83" s="34"/>
      <c r="G83" s="34">
        <v>0</v>
      </c>
      <c r="H83" s="35" t="str">
        <f t="shared" si="14"/>
        <v/>
      </c>
      <c r="I83" s="36" t="str">
        <f t="shared" si="13"/>
        <v/>
      </c>
      <c r="J83" s="36" t="str">
        <f t="shared" si="15"/>
        <v/>
      </c>
      <c r="K83" s="38" t="str">
        <f t="shared" si="16"/>
        <v/>
      </c>
      <c r="L83" s="38" t="str">
        <f>IF(tbAvaliacaoSLA[[#This Row],[Competência]]="","",Parâmetros!$C$4)</f>
        <v/>
      </c>
      <c r="M83" s="38" t="str">
        <f t="shared" si="17"/>
        <v/>
      </c>
      <c r="N83" s="39" t="str">
        <f>IF(M83="","",IF(Parâmetros!$C$7="INICIADA",ROUNDUP(M83/Parâmetros!$C$5,0),ROUNDDOWN(M83/Parâmetros!$C$5,0)))</f>
        <v/>
      </c>
      <c r="O83" s="39" t="str">
        <f>IF(N83="","",N83*Parâmetros!$C$6)</f>
        <v/>
      </c>
      <c r="P83" s="40" t="str">
        <f t="shared" si="18"/>
        <v/>
      </c>
      <c r="Q83" s="32"/>
    </row>
    <row r="84" spans="1:17" ht="15" customHeight="1" x14ac:dyDescent="0.2">
      <c r="A84" s="43"/>
      <c r="B84" s="43"/>
      <c r="C84" s="32"/>
      <c r="D84" s="32"/>
      <c r="E84" s="58" t="str">
        <f>IF(tbAvaliacaoSLA[[#This Row],[Competência]]="","",DAY(EOMONTH(tbAvaliacaoSLA[[#This Row],[Competência]],0))*24)</f>
        <v/>
      </c>
      <c r="F84" s="34"/>
      <c r="G84" s="34">
        <v>0</v>
      </c>
      <c r="H84" s="35" t="str">
        <f t="shared" si="14"/>
        <v/>
      </c>
      <c r="I84" s="36" t="str">
        <f t="shared" si="13"/>
        <v/>
      </c>
      <c r="J84" s="36" t="str">
        <f t="shared" si="15"/>
        <v/>
      </c>
      <c r="K84" s="38" t="str">
        <f t="shared" si="16"/>
        <v/>
      </c>
      <c r="L84" s="38" t="str">
        <f>IF(tbAvaliacaoSLA[[#This Row],[Competência]]="","",Parâmetros!$C$4)</f>
        <v/>
      </c>
      <c r="M84" s="38" t="str">
        <f t="shared" si="17"/>
        <v/>
      </c>
      <c r="N84" s="39" t="str">
        <f>IF(M84="","",IF(Parâmetros!$C$7="INICIADA",ROUNDUP(M84/Parâmetros!$C$5,0),ROUNDDOWN(M84/Parâmetros!$C$5,0)))</f>
        <v/>
      </c>
      <c r="O84" s="39" t="str">
        <f>IF(N84="","",N84*Parâmetros!$C$6)</f>
        <v/>
      </c>
      <c r="P84" s="40" t="str">
        <f t="shared" si="18"/>
        <v/>
      </c>
      <c r="Q84" s="32"/>
    </row>
    <row r="85" spans="1:17" ht="15" customHeight="1" x14ac:dyDescent="0.2">
      <c r="A85" s="43"/>
      <c r="B85" s="43"/>
      <c r="C85" s="32"/>
      <c r="D85" s="32"/>
      <c r="E85" s="58" t="str">
        <f>IF(tbAvaliacaoSLA[[#This Row],[Competência]]="","",DAY(EOMONTH(tbAvaliacaoSLA[[#This Row],[Competência]],0))*24)</f>
        <v/>
      </c>
      <c r="F85" s="34"/>
      <c r="G85" s="34">
        <v>0</v>
      </c>
      <c r="H85" s="35" t="str">
        <f t="shared" si="14"/>
        <v/>
      </c>
      <c r="I85" s="36" t="str">
        <f t="shared" si="13"/>
        <v/>
      </c>
      <c r="J85" s="36" t="str">
        <f t="shared" si="15"/>
        <v/>
      </c>
      <c r="K85" s="38" t="str">
        <f t="shared" si="16"/>
        <v/>
      </c>
      <c r="L85" s="38" t="str">
        <f>IF(tbAvaliacaoSLA[[#This Row],[Competência]]="","",Parâmetros!$C$4)</f>
        <v/>
      </c>
      <c r="M85" s="38" t="str">
        <f t="shared" si="17"/>
        <v/>
      </c>
      <c r="N85" s="39" t="str">
        <f>IF(M85="","",IF(Parâmetros!$C$7="INICIADA",ROUNDUP(M85/Parâmetros!$C$5,0),ROUNDDOWN(M85/Parâmetros!$C$5,0)))</f>
        <v/>
      </c>
      <c r="O85" s="39" t="str">
        <f>IF(N85="","",N85*Parâmetros!$C$6)</f>
        <v/>
      </c>
      <c r="P85" s="40" t="str">
        <f t="shared" si="18"/>
        <v/>
      </c>
      <c r="Q85" s="32"/>
    </row>
    <row r="86" spans="1:17" ht="15" customHeight="1" x14ac:dyDescent="0.2">
      <c r="A86" s="43"/>
      <c r="B86" s="43"/>
      <c r="C86" s="32"/>
      <c r="D86" s="32"/>
      <c r="E86" s="58" t="str">
        <f>IF(tbAvaliacaoSLA[[#This Row],[Competência]]="","",DAY(EOMONTH(tbAvaliacaoSLA[[#This Row],[Competência]],0))*24)</f>
        <v/>
      </c>
      <c r="F86" s="34"/>
      <c r="G86" s="34">
        <v>0</v>
      </c>
      <c r="H86" s="35" t="str">
        <f t="shared" si="14"/>
        <v/>
      </c>
      <c r="I86" s="36" t="str">
        <f t="shared" si="13"/>
        <v/>
      </c>
      <c r="J86" s="36" t="str">
        <f t="shared" si="15"/>
        <v/>
      </c>
      <c r="K86" s="38" t="str">
        <f t="shared" si="16"/>
        <v/>
      </c>
      <c r="L86" s="38" t="str">
        <f>IF(tbAvaliacaoSLA[[#This Row],[Competência]]="","",Parâmetros!$C$4)</f>
        <v/>
      </c>
      <c r="M86" s="38" t="str">
        <f t="shared" si="17"/>
        <v/>
      </c>
      <c r="N86" s="39" t="str">
        <f>IF(M86="","",IF(Parâmetros!$C$7="INICIADA",ROUNDUP(M86/Parâmetros!$C$5,0),ROUNDDOWN(M86/Parâmetros!$C$5,0)))</f>
        <v/>
      </c>
      <c r="O86" s="39" t="str">
        <f>IF(N86="","",N86*Parâmetros!$C$6)</f>
        <v/>
      </c>
      <c r="P86" s="40" t="str">
        <f t="shared" si="18"/>
        <v/>
      </c>
      <c r="Q86" s="32"/>
    </row>
    <row r="87" spans="1:17" ht="15" customHeight="1" x14ac:dyDescent="0.2">
      <c r="A87" s="43"/>
      <c r="B87" s="43"/>
      <c r="C87" s="32"/>
      <c r="D87" s="32"/>
      <c r="E87" s="58" t="str">
        <f>IF(tbAvaliacaoSLA[[#This Row],[Competência]]="","",DAY(EOMONTH(tbAvaliacaoSLA[[#This Row],[Competência]],0))*24)</f>
        <v/>
      </c>
      <c r="F87" s="34"/>
      <c r="G87" s="34">
        <v>0</v>
      </c>
      <c r="H87" s="35" t="str">
        <f t="shared" si="14"/>
        <v/>
      </c>
      <c r="I87" s="36" t="str">
        <f t="shared" si="13"/>
        <v/>
      </c>
      <c r="J87" s="36" t="str">
        <f t="shared" si="15"/>
        <v/>
      </c>
      <c r="K87" s="38" t="str">
        <f t="shared" si="16"/>
        <v/>
      </c>
      <c r="L87" s="38" t="str">
        <f>IF(tbAvaliacaoSLA[[#This Row],[Competência]]="","",Parâmetros!$C$4)</f>
        <v/>
      </c>
      <c r="M87" s="38" t="str">
        <f t="shared" si="17"/>
        <v/>
      </c>
      <c r="N87" s="39" t="str">
        <f>IF(M87="","",IF(Parâmetros!$C$7="INICIADA",ROUNDUP(M87/Parâmetros!$C$5,0),ROUNDDOWN(M87/Parâmetros!$C$5,0)))</f>
        <v/>
      </c>
      <c r="O87" s="39" t="str">
        <f>IF(N87="","",N87*Parâmetros!$C$6)</f>
        <v/>
      </c>
      <c r="P87" s="40" t="str">
        <f t="shared" si="18"/>
        <v/>
      </c>
      <c r="Q87" s="32"/>
    </row>
    <row r="88" spans="1:17" ht="15" customHeight="1" x14ac:dyDescent="0.2">
      <c r="A88" s="43"/>
      <c r="B88" s="43"/>
      <c r="C88" s="32"/>
      <c r="D88" s="32"/>
      <c r="E88" s="58" t="str">
        <f>IF(tbAvaliacaoSLA[[#This Row],[Competência]]="","",DAY(EOMONTH(tbAvaliacaoSLA[[#This Row],[Competência]],0))*24)</f>
        <v/>
      </c>
      <c r="F88" s="34"/>
      <c r="G88" s="34">
        <v>0</v>
      </c>
      <c r="H88" s="35" t="str">
        <f t="shared" si="14"/>
        <v/>
      </c>
      <c r="I88" s="36" t="str">
        <f t="shared" si="13"/>
        <v/>
      </c>
      <c r="J88" s="36" t="str">
        <f t="shared" si="15"/>
        <v/>
      </c>
      <c r="K88" s="38" t="str">
        <f t="shared" si="16"/>
        <v/>
      </c>
      <c r="L88" s="38" t="str">
        <f>IF(tbAvaliacaoSLA[[#This Row],[Competência]]="","",Parâmetros!$C$4)</f>
        <v/>
      </c>
      <c r="M88" s="38" t="str">
        <f t="shared" si="17"/>
        <v/>
      </c>
      <c r="N88" s="39" t="str">
        <f>IF(M88="","",IF(Parâmetros!$C$7="INICIADA",ROUNDUP(M88/Parâmetros!$C$5,0),ROUNDDOWN(M88/Parâmetros!$C$5,0)))</f>
        <v/>
      </c>
      <c r="O88" s="39" t="str">
        <f>IF(N88="","",N88*Parâmetros!$C$6)</f>
        <v/>
      </c>
      <c r="P88" s="40" t="str">
        <f t="shared" si="18"/>
        <v/>
      </c>
      <c r="Q88" s="32"/>
    </row>
    <row r="89" spans="1:17" ht="15" customHeight="1" x14ac:dyDescent="0.2">
      <c r="A89" s="43"/>
      <c r="B89" s="43"/>
      <c r="C89" s="32"/>
      <c r="D89" s="32"/>
      <c r="E89" s="58" t="str">
        <f>IF(tbAvaliacaoSLA[[#This Row],[Competência]]="","",DAY(EOMONTH(tbAvaliacaoSLA[[#This Row],[Competência]],0))*24)</f>
        <v/>
      </c>
      <c r="F89" s="34"/>
      <c r="G89" s="34">
        <v>0</v>
      </c>
      <c r="H89" s="35" t="str">
        <f t="shared" si="14"/>
        <v/>
      </c>
      <c r="I89" s="36" t="str">
        <f t="shared" si="13"/>
        <v/>
      </c>
      <c r="J89" s="36" t="str">
        <f t="shared" si="15"/>
        <v/>
      </c>
      <c r="K89" s="38" t="str">
        <f t="shared" si="16"/>
        <v/>
      </c>
      <c r="L89" s="38" t="str">
        <f>IF(tbAvaliacaoSLA[[#This Row],[Competência]]="","",Parâmetros!$C$4)</f>
        <v/>
      </c>
      <c r="M89" s="38" t="str">
        <f t="shared" si="17"/>
        <v/>
      </c>
      <c r="N89" s="39" t="str">
        <f>IF(M89="","",IF(Parâmetros!$C$7="INICIADA",ROUNDUP(M89/Parâmetros!$C$5,0),ROUNDDOWN(M89/Parâmetros!$C$5,0)))</f>
        <v/>
      </c>
      <c r="O89" s="39" t="str">
        <f>IF(N89="","",N89*Parâmetros!$C$6)</f>
        <v/>
      </c>
      <c r="P89" s="40" t="str">
        <f t="shared" si="18"/>
        <v/>
      </c>
      <c r="Q89" s="32"/>
    </row>
    <row r="90" spans="1:17" ht="15" customHeight="1" x14ac:dyDescent="0.2">
      <c r="A90" s="43"/>
      <c r="B90" s="43"/>
      <c r="C90" s="32"/>
      <c r="D90" s="32"/>
      <c r="E90" s="58" t="str">
        <f>IF(tbAvaliacaoSLA[[#This Row],[Competência]]="","",DAY(EOMONTH(tbAvaliacaoSLA[[#This Row],[Competência]],0))*24)</f>
        <v/>
      </c>
      <c r="F90" s="34"/>
      <c r="G90" s="34">
        <v>0</v>
      </c>
      <c r="H90" s="35" t="str">
        <f t="shared" si="14"/>
        <v/>
      </c>
      <c r="I90" s="36" t="str">
        <f t="shared" si="13"/>
        <v/>
      </c>
      <c r="J90" s="36" t="str">
        <f t="shared" si="15"/>
        <v/>
      </c>
      <c r="K90" s="38" t="str">
        <f t="shared" si="16"/>
        <v/>
      </c>
      <c r="L90" s="38" t="str">
        <f>IF(tbAvaliacaoSLA[[#This Row],[Competência]]="","",Parâmetros!$C$4)</f>
        <v/>
      </c>
      <c r="M90" s="38" t="str">
        <f t="shared" si="17"/>
        <v/>
      </c>
      <c r="N90" s="39" t="str">
        <f>IF(M90="","",IF(Parâmetros!$C$7="INICIADA",ROUNDUP(M90/Parâmetros!$C$5,0),ROUNDDOWN(M90/Parâmetros!$C$5,0)))</f>
        <v/>
      </c>
      <c r="O90" s="39" t="str">
        <f>IF(N90="","",N90*Parâmetros!$C$6)</f>
        <v/>
      </c>
      <c r="P90" s="40" t="str">
        <f t="shared" si="18"/>
        <v/>
      </c>
      <c r="Q90" s="32"/>
    </row>
    <row r="91" spans="1:17" ht="15" customHeight="1" x14ac:dyDescent="0.2">
      <c r="A91" s="43"/>
      <c r="B91" s="43"/>
      <c r="C91" s="32"/>
      <c r="D91" s="32"/>
      <c r="E91" s="58" t="str">
        <f>IF(tbAvaliacaoSLA[[#This Row],[Competência]]="","",DAY(EOMONTH(tbAvaliacaoSLA[[#This Row],[Competência]],0))*24)</f>
        <v/>
      </c>
      <c r="F91" s="34"/>
      <c r="G91" s="34">
        <v>0</v>
      </c>
      <c r="H91" s="35" t="str">
        <f t="shared" si="14"/>
        <v/>
      </c>
      <c r="I91" s="36" t="str">
        <f t="shared" si="13"/>
        <v/>
      </c>
      <c r="J91" s="36" t="str">
        <f t="shared" si="15"/>
        <v/>
      </c>
      <c r="K91" s="38" t="str">
        <f t="shared" si="16"/>
        <v/>
      </c>
      <c r="L91" s="38" t="str">
        <f>IF(tbAvaliacaoSLA[[#This Row],[Competência]]="","",Parâmetros!$C$4)</f>
        <v/>
      </c>
      <c r="M91" s="38" t="str">
        <f t="shared" si="17"/>
        <v/>
      </c>
      <c r="N91" s="39" t="str">
        <f>IF(M91="","",IF(Parâmetros!$C$7="INICIADA",ROUNDUP(M91/Parâmetros!$C$5,0),ROUNDDOWN(M91/Parâmetros!$C$5,0)))</f>
        <v/>
      </c>
      <c r="O91" s="39" t="str">
        <f>IF(N91="","",N91*Parâmetros!$C$6)</f>
        <v/>
      </c>
      <c r="P91" s="40" t="str">
        <f t="shared" si="18"/>
        <v/>
      </c>
      <c r="Q91" s="32"/>
    </row>
    <row r="92" spans="1:17" ht="15" customHeight="1" x14ac:dyDescent="0.2">
      <c r="A92" s="43"/>
      <c r="B92" s="43"/>
      <c r="C92" s="32"/>
      <c r="D92" s="32"/>
      <c r="E92" s="58" t="str">
        <f>IF(tbAvaliacaoSLA[[#This Row],[Competência]]="","",DAY(EOMONTH(tbAvaliacaoSLA[[#This Row],[Competência]],0))*24)</f>
        <v/>
      </c>
      <c r="F92" s="34"/>
      <c r="G92" s="34">
        <v>0</v>
      </c>
      <c r="H92" s="35" t="str">
        <f t="shared" si="14"/>
        <v/>
      </c>
      <c r="I92" s="36" t="str">
        <f t="shared" si="13"/>
        <v/>
      </c>
      <c r="J92" s="36" t="str">
        <f t="shared" si="15"/>
        <v/>
      </c>
      <c r="K92" s="38" t="str">
        <f t="shared" si="16"/>
        <v/>
      </c>
      <c r="L92" s="38" t="str">
        <f>IF(tbAvaliacaoSLA[[#This Row],[Competência]]="","",Parâmetros!$C$4)</f>
        <v/>
      </c>
      <c r="M92" s="38" t="str">
        <f t="shared" si="17"/>
        <v/>
      </c>
      <c r="N92" s="39" t="str">
        <f>IF(M92="","",IF(Parâmetros!$C$7="INICIADA",ROUNDUP(M92/Parâmetros!$C$5,0),ROUNDDOWN(M92/Parâmetros!$C$5,0)))</f>
        <v/>
      </c>
      <c r="O92" s="39" t="str">
        <f>IF(N92="","",N92*Parâmetros!$C$6)</f>
        <v/>
      </c>
      <c r="P92" s="40" t="str">
        <f t="shared" si="18"/>
        <v/>
      </c>
      <c r="Q92" s="32"/>
    </row>
    <row r="93" spans="1:17" ht="15" customHeight="1" x14ac:dyDescent="0.2">
      <c r="A93" s="43"/>
      <c r="B93" s="43"/>
      <c r="C93" s="32"/>
      <c r="D93" s="32"/>
      <c r="E93" s="58" t="str">
        <f>IF(tbAvaliacaoSLA[[#This Row],[Competência]]="","",DAY(EOMONTH(tbAvaliacaoSLA[[#This Row],[Competência]],0))*24)</f>
        <v/>
      </c>
      <c r="F93" s="34"/>
      <c r="G93" s="34">
        <v>0</v>
      </c>
      <c r="H93" s="35" t="str">
        <f t="shared" si="14"/>
        <v/>
      </c>
      <c r="I93" s="36" t="str">
        <f t="shared" si="13"/>
        <v/>
      </c>
      <c r="J93" s="36" t="str">
        <f t="shared" si="15"/>
        <v/>
      </c>
      <c r="K93" s="38" t="str">
        <f t="shared" si="16"/>
        <v/>
      </c>
      <c r="L93" s="38" t="str">
        <f>IF(tbAvaliacaoSLA[[#This Row],[Competência]]="","",Parâmetros!$C$4)</f>
        <v/>
      </c>
      <c r="M93" s="38" t="str">
        <f t="shared" si="17"/>
        <v/>
      </c>
      <c r="N93" s="39" t="str">
        <f>IF(M93="","",IF(Parâmetros!$C$7="INICIADA",ROUNDUP(M93/Parâmetros!$C$5,0),ROUNDDOWN(M93/Parâmetros!$C$5,0)))</f>
        <v/>
      </c>
      <c r="O93" s="39" t="str">
        <f>IF(N93="","",N93*Parâmetros!$C$6)</f>
        <v/>
      </c>
      <c r="P93" s="40" t="str">
        <f t="shared" si="18"/>
        <v/>
      </c>
      <c r="Q93" s="32"/>
    </row>
    <row r="94" spans="1:17" ht="15" customHeight="1" x14ac:dyDescent="0.2">
      <c r="A94" s="43"/>
      <c r="B94" s="43"/>
      <c r="C94" s="32"/>
      <c r="D94" s="32"/>
      <c r="E94" s="58" t="str">
        <f>IF(tbAvaliacaoSLA[[#This Row],[Competência]]="","",DAY(EOMONTH(tbAvaliacaoSLA[[#This Row],[Competência]],0))*24)</f>
        <v/>
      </c>
      <c r="F94" s="34"/>
      <c r="G94" s="34">
        <v>0</v>
      </c>
      <c r="H94" s="35" t="str">
        <f t="shared" si="14"/>
        <v/>
      </c>
      <c r="I94" s="36" t="str">
        <f t="shared" si="13"/>
        <v/>
      </c>
      <c r="J94" s="36" t="str">
        <f t="shared" si="15"/>
        <v/>
      </c>
      <c r="K94" s="38" t="str">
        <f t="shared" si="16"/>
        <v/>
      </c>
      <c r="L94" s="38" t="str">
        <f>IF(tbAvaliacaoSLA[[#This Row],[Competência]]="","",Parâmetros!$C$4)</f>
        <v/>
      </c>
      <c r="M94" s="38" t="str">
        <f t="shared" si="17"/>
        <v/>
      </c>
      <c r="N94" s="39" t="str">
        <f>IF(M94="","",IF(Parâmetros!$C$7="INICIADA",ROUNDUP(M94/Parâmetros!$C$5,0),ROUNDDOWN(M94/Parâmetros!$C$5,0)))</f>
        <v/>
      </c>
      <c r="O94" s="39" t="str">
        <f>IF(N94="","",N94*Parâmetros!$C$6)</f>
        <v/>
      </c>
      <c r="P94" s="40" t="str">
        <f t="shared" si="18"/>
        <v/>
      </c>
      <c r="Q94" s="32"/>
    </row>
    <row r="95" spans="1:17" ht="15" customHeight="1" x14ac:dyDescent="0.2">
      <c r="A95" s="43"/>
      <c r="B95" s="43"/>
      <c r="C95" s="32"/>
      <c r="D95" s="32"/>
      <c r="E95" s="58" t="str">
        <f>IF(tbAvaliacaoSLA[[#This Row],[Competência]]="","",DAY(EOMONTH(tbAvaliacaoSLA[[#This Row],[Competência]],0))*24)</f>
        <v/>
      </c>
      <c r="F95" s="34"/>
      <c r="G95" s="34">
        <v>0</v>
      </c>
      <c r="H95" s="35" t="str">
        <f t="shared" si="14"/>
        <v/>
      </c>
      <c r="I95" s="36" t="str">
        <f t="shared" si="13"/>
        <v/>
      </c>
      <c r="J95" s="36" t="str">
        <f t="shared" si="15"/>
        <v/>
      </c>
      <c r="K95" s="38" t="str">
        <f t="shared" si="16"/>
        <v/>
      </c>
      <c r="L95" s="38" t="str">
        <f>IF(tbAvaliacaoSLA[[#This Row],[Competência]]="","",Parâmetros!$C$4)</f>
        <v/>
      </c>
      <c r="M95" s="38" t="str">
        <f t="shared" si="17"/>
        <v/>
      </c>
      <c r="N95" s="39" t="str">
        <f>IF(M95="","",IF(Parâmetros!$C$7="INICIADA",ROUNDUP(M95/Parâmetros!$C$5,0),ROUNDDOWN(M95/Parâmetros!$C$5,0)))</f>
        <v/>
      </c>
      <c r="O95" s="39" t="str">
        <f>IF(N95="","",N95*Parâmetros!$C$6)</f>
        <v/>
      </c>
      <c r="P95" s="40" t="str">
        <f t="shared" si="18"/>
        <v/>
      </c>
      <c r="Q95" s="32"/>
    </row>
    <row r="96" spans="1:17" ht="15" customHeight="1" x14ac:dyDescent="0.2">
      <c r="A96" s="43"/>
      <c r="B96" s="43"/>
      <c r="C96" s="32"/>
      <c r="D96" s="32"/>
      <c r="E96" s="58" t="str">
        <f>IF(tbAvaliacaoSLA[[#This Row],[Competência]]="","",DAY(EOMONTH(tbAvaliacaoSLA[[#This Row],[Competência]],0))*24)</f>
        <v/>
      </c>
      <c r="F96" s="34"/>
      <c r="G96" s="34">
        <v>0</v>
      </c>
      <c r="H96" s="35" t="str">
        <f t="shared" si="14"/>
        <v/>
      </c>
      <c r="I96" s="36" t="str">
        <f t="shared" si="13"/>
        <v/>
      </c>
      <c r="J96" s="36" t="str">
        <f t="shared" si="15"/>
        <v/>
      </c>
      <c r="K96" s="38" t="str">
        <f t="shared" si="16"/>
        <v/>
      </c>
      <c r="L96" s="38" t="str">
        <f>IF(tbAvaliacaoSLA[[#This Row],[Competência]]="","",Parâmetros!$C$4)</f>
        <v/>
      </c>
      <c r="M96" s="38" t="str">
        <f t="shared" si="17"/>
        <v/>
      </c>
      <c r="N96" s="39" t="str">
        <f>IF(M96="","",IF(Parâmetros!$C$7="INICIADA",ROUNDUP(M96/Parâmetros!$C$5,0),ROUNDDOWN(M96/Parâmetros!$C$5,0)))</f>
        <v/>
      </c>
      <c r="O96" s="39" t="str">
        <f>IF(N96="","",N96*Parâmetros!$C$6)</f>
        <v/>
      </c>
      <c r="P96" s="40" t="str">
        <f t="shared" si="18"/>
        <v/>
      </c>
      <c r="Q96" s="32"/>
    </row>
    <row r="97" spans="1:17" ht="15" customHeight="1" x14ac:dyDescent="0.2">
      <c r="A97" s="43"/>
      <c r="B97" s="43"/>
      <c r="C97" s="32"/>
      <c r="D97" s="32"/>
      <c r="E97" s="58" t="str">
        <f>IF(tbAvaliacaoSLA[[#This Row],[Competência]]="","",DAY(EOMONTH(tbAvaliacaoSLA[[#This Row],[Competência]],0))*24)</f>
        <v/>
      </c>
      <c r="F97" s="34"/>
      <c r="G97" s="34">
        <v>0</v>
      </c>
      <c r="H97" s="35" t="str">
        <f t="shared" si="14"/>
        <v/>
      </c>
      <c r="I97" s="36" t="str">
        <f t="shared" si="13"/>
        <v/>
      </c>
      <c r="J97" s="36" t="str">
        <f t="shared" si="15"/>
        <v/>
      </c>
      <c r="K97" s="38" t="str">
        <f t="shared" si="16"/>
        <v/>
      </c>
      <c r="L97" s="38" t="str">
        <f>IF(tbAvaliacaoSLA[[#This Row],[Competência]]="","",Parâmetros!$C$4)</f>
        <v/>
      </c>
      <c r="M97" s="38" t="str">
        <f t="shared" si="17"/>
        <v/>
      </c>
      <c r="N97" s="39" t="str">
        <f>IF(M97="","",IF(Parâmetros!$C$7="INICIADA",ROUNDUP(M97/Parâmetros!$C$5,0),ROUNDDOWN(M97/Parâmetros!$C$5,0)))</f>
        <v/>
      </c>
      <c r="O97" s="39" t="str">
        <f>IF(N97="","",N97*Parâmetros!$C$6)</f>
        <v/>
      </c>
      <c r="P97" s="40" t="str">
        <f t="shared" si="18"/>
        <v/>
      </c>
      <c r="Q97" s="32"/>
    </row>
    <row r="98" spans="1:17" ht="15" customHeight="1" x14ac:dyDescent="0.2">
      <c r="A98" s="43"/>
      <c r="B98" s="43"/>
      <c r="C98" s="32"/>
      <c r="D98" s="32"/>
      <c r="E98" s="58" t="str">
        <f>IF(tbAvaliacaoSLA[[#This Row],[Competência]]="","",DAY(EOMONTH(tbAvaliacaoSLA[[#This Row],[Competência]],0))*24)</f>
        <v/>
      </c>
      <c r="F98" s="34"/>
      <c r="G98" s="34">
        <v>0</v>
      </c>
      <c r="H98" s="35" t="str">
        <f t="shared" si="14"/>
        <v/>
      </c>
      <c r="I98" s="36" t="str">
        <f t="shared" ref="I98:I123" si="19">IF(OR(E98="",F98="",G98=""),"",E98-F98-G98)</f>
        <v/>
      </c>
      <c r="J98" s="36" t="str">
        <f t="shared" si="15"/>
        <v/>
      </c>
      <c r="K98" s="38" t="str">
        <f t="shared" si="16"/>
        <v/>
      </c>
      <c r="L98" s="38" t="str">
        <f>IF(tbAvaliacaoSLA[[#This Row],[Competência]]="","",Parâmetros!$C$4)</f>
        <v/>
      </c>
      <c r="M98" s="38" t="str">
        <f t="shared" si="17"/>
        <v/>
      </c>
      <c r="N98" s="39" t="str">
        <f>IF(M98="","",IF(Parâmetros!$C$7="INICIADA",ROUNDUP(M98/Parâmetros!$C$5,0),ROUNDDOWN(M98/Parâmetros!$C$5,0)))</f>
        <v/>
      </c>
      <c r="O98" s="39" t="str">
        <f>IF(N98="","",N98*Parâmetros!$C$6)</f>
        <v/>
      </c>
      <c r="P98" s="40" t="str">
        <f t="shared" si="18"/>
        <v/>
      </c>
      <c r="Q98" s="32"/>
    </row>
    <row r="99" spans="1:17" ht="15" customHeight="1" x14ac:dyDescent="0.2">
      <c r="A99" s="43"/>
      <c r="B99" s="43"/>
      <c r="C99" s="32"/>
      <c r="D99" s="32"/>
      <c r="E99" s="58" t="str">
        <f>IF(tbAvaliacaoSLA[[#This Row],[Competência]]="","",DAY(EOMONTH(tbAvaliacaoSLA[[#This Row],[Competência]],0))*24)</f>
        <v/>
      </c>
      <c r="F99" s="34"/>
      <c r="G99" s="34">
        <v>0</v>
      </c>
      <c r="H99" s="35" t="str">
        <f t="shared" si="14"/>
        <v/>
      </c>
      <c r="I99" s="36" t="str">
        <f t="shared" si="19"/>
        <v/>
      </c>
      <c r="J99" s="36" t="str">
        <f t="shared" si="15"/>
        <v/>
      </c>
      <c r="K99" s="38" t="str">
        <f t="shared" si="16"/>
        <v/>
      </c>
      <c r="L99" s="38" t="str">
        <f>IF(tbAvaliacaoSLA[[#This Row],[Competência]]="","",Parâmetros!$C$4)</f>
        <v/>
      </c>
      <c r="M99" s="38" t="str">
        <f t="shared" si="17"/>
        <v/>
      </c>
      <c r="N99" s="39" t="str">
        <f>IF(M99="","",IF(Parâmetros!$C$7="INICIADA",ROUNDUP(M99/Parâmetros!$C$5,0),ROUNDDOWN(M99/Parâmetros!$C$5,0)))</f>
        <v/>
      </c>
      <c r="O99" s="39" t="str">
        <f>IF(N99="","",N99*Parâmetros!$C$6)</f>
        <v/>
      </c>
      <c r="P99" s="40" t="str">
        <f t="shared" si="18"/>
        <v/>
      </c>
      <c r="Q99" s="32"/>
    </row>
    <row r="100" spans="1:17" ht="15" customHeight="1" x14ac:dyDescent="0.2">
      <c r="A100" s="43"/>
      <c r="B100" s="43"/>
      <c r="C100" s="32"/>
      <c r="D100" s="32"/>
      <c r="E100" s="58" t="str">
        <f>IF(tbAvaliacaoSLA[[#This Row],[Competência]]="","",DAY(EOMONTH(tbAvaliacaoSLA[[#This Row],[Competência]],0))*24)</f>
        <v/>
      </c>
      <c r="F100" s="34"/>
      <c r="G100" s="34">
        <v>0</v>
      </c>
      <c r="H100" s="35" t="str">
        <f t="shared" si="14"/>
        <v/>
      </c>
      <c r="I100" s="36" t="str">
        <f t="shared" si="19"/>
        <v/>
      </c>
      <c r="J100" s="36" t="str">
        <f t="shared" si="15"/>
        <v/>
      </c>
      <c r="K100" s="38" t="str">
        <f t="shared" si="16"/>
        <v/>
      </c>
      <c r="L100" s="38" t="str">
        <f>IF(tbAvaliacaoSLA[[#This Row],[Competência]]="","",Parâmetros!$C$4)</f>
        <v/>
      </c>
      <c r="M100" s="38" t="str">
        <f t="shared" si="17"/>
        <v/>
      </c>
      <c r="N100" s="39" t="str">
        <f>IF(M100="","",IF(Parâmetros!$C$7="INICIADA",ROUNDUP(M100/Parâmetros!$C$5,0),ROUNDDOWN(M100/Parâmetros!$C$5,0)))</f>
        <v/>
      </c>
      <c r="O100" s="39" t="str">
        <f>IF(N100="","",N100*Parâmetros!$C$6)</f>
        <v/>
      </c>
      <c r="P100" s="40" t="str">
        <f t="shared" si="18"/>
        <v/>
      </c>
      <c r="Q100" s="32"/>
    </row>
    <row r="101" spans="1:17" ht="15" customHeight="1" x14ac:dyDescent="0.2">
      <c r="A101" s="43"/>
      <c r="B101" s="43"/>
      <c r="C101" s="32"/>
      <c r="D101" s="32"/>
      <c r="E101" s="58" t="str">
        <f>IF(tbAvaliacaoSLA[[#This Row],[Competência]]="","",DAY(EOMONTH(tbAvaliacaoSLA[[#This Row],[Competência]],0))*24)</f>
        <v/>
      </c>
      <c r="F101" s="34"/>
      <c r="G101" s="34">
        <v>0</v>
      </c>
      <c r="H101" s="35" t="str">
        <f t="shared" ref="H101:H124" si="20">IF(OR(E101="",D101=""),"",E101*D101)</f>
        <v/>
      </c>
      <c r="I101" s="36" t="str">
        <f t="shared" si="19"/>
        <v/>
      </c>
      <c r="J101" s="36" t="str">
        <f t="shared" ref="J101:J123" si="21">IF(OR(H101="",F101="",G101=""),"",H101-F101-G101)</f>
        <v/>
      </c>
      <c r="K101" s="38" t="str">
        <f t="shared" ref="K101:K123" si="22">IFERROR(J101/I101,"")</f>
        <v/>
      </c>
      <c r="L101" s="38" t="str">
        <f>IF(tbAvaliacaoSLA[[#This Row],[Competência]]="","",Parâmetros!$C$4)</f>
        <v/>
      </c>
      <c r="M101" s="38" t="str">
        <f t="shared" ref="M101:M123" si="23">IF(K101="","",MAX(0,L101-K101))</f>
        <v/>
      </c>
      <c r="N101" s="39" t="str">
        <f>IF(M101="","",IF(Parâmetros!$C$7="INICIADA",ROUNDUP(M101/Parâmetros!$C$5,0),ROUNDDOWN(M101/Parâmetros!$C$5,0)))</f>
        <v/>
      </c>
      <c r="O101" s="39" t="str">
        <f>IF(N101="","",N101*Parâmetros!$C$6)</f>
        <v/>
      </c>
      <c r="P101" s="40" t="str">
        <f t="shared" ref="P101:P123" si="24">IF(K101="","",IF(OR(I101&lt;=0,J101&lt;0,J101&gt;I101),"REVISAR DADOS",IF(K101&gt;=L101,"ATENDIDO","NÃO ATENDIDO")))</f>
        <v/>
      </c>
      <c r="Q101" s="32"/>
    </row>
    <row r="102" spans="1:17" ht="15" customHeight="1" x14ac:dyDescent="0.2">
      <c r="A102" s="43"/>
      <c r="B102" s="43"/>
      <c r="C102" s="32"/>
      <c r="D102" s="32"/>
      <c r="E102" s="58" t="str">
        <f>IF(tbAvaliacaoSLA[[#This Row],[Competência]]="","",DAY(EOMONTH(tbAvaliacaoSLA[[#This Row],[Competência]],0))*24)</f>
        <v/>
      </c>
      <c r="F102" s="34"/>
      <c r="G102" s="34">
        <v>0</v>
      </c>
      <c r="H102" s="35" t="str">
        <f t="shared" si="20"/>
        <v/>
      </c>
      <c r="I102" s="36" t="str">
        <f t="shared" si="19"/>
        <v/>
      </c>
      <c r="J102" s="36" t="str">
        <f t="shared" si="21"/>
        <v/>
      </c>
      <c r="K102" s="38" t="str">
        <f t="shared" si="22"/>
        <v/>
      </c>
      <c r="L102" s="38" t="str">
        <f>IF(tbAvaliacaoSLA[[#This Row],[Competência]]="","",Parâmetros!$C$4)</f>
        <v/>
      </c>
      <c r="M102" s="38" t="str">
        <f t="shared" si="23"/>
        <v/>
      </c>
      <c r="N102" s="39" t="str">
        <f>IF(M102="","",IF(Parâmetros!$C$7="INICIADA",ROUNDUP(M102/Parâmetros!$C$5,0),ROUNDDOWN(M102/Parâmetros!$C$5,0)))</f>
        <v/>
      </c>
      <c r="O102" s="39" t="str">
        <f>IF(N102="","",N102*Parâmetros!$C$6)</f>
        <v/>
      </c>
      <c r="P102" s="40" t="str">
        <f t="shared" si="24"/>
        <v/>
      </c>
      <c r="Q102" s="32"/>
    </row>
    <row r="103" spans="1:17" ht="15" customHeight="1" x14ac:dyDescent="0.2">
      <c r="A103" s="43"/>
      <c r="B103" s="43"/>
      <c r="C103" s="32"/>
      <c r="D103" s="32"/>
      <c r="E103" s="58" t="str">
        <f>IF(tbAvaliacaoSLA[[#This Row],[Competência]]="","",DAY(EOMONTH(tbAvaliacaoSLA[[#This Row],[Competência]],0))*24)</f>
        <v/>
      </c>
      <c r="F103" s="34"/>
      <c r="G103" s="34">
        <v>0</v>
      </c>
      <c r="H103" s="35" t="str">
        <f t="shared" si="20"/>
        <v/>
      </c>
      <c r="I103" s="36" t="str">
        <f t="shared" si="19"/>
        <v/>
      </c>
      <c r="J103" s="36" t="str">
        <f t="shared" si="21"/>
        <v/>
      </c>
      <c r="K103" s="38" t="str">
        <f t="shared" si="22"/>
        <v/>
      </c>
      <c r="L103" s="38" t="str">
        <f>IF(tbAvaliacaoSLA[[#This Row],[Competência]]="","",Parâmetros!$C$4)</f>
        <v/>
      </c>
      <c r="M103" s="38" t="str">
        <f t="shared" si="23"/>
        <v/>
      </c>
      <c r="N103" s="39" t="str">
        <f>IF(M103="","",IF(Parâmetros!$C$7="INICIADA",ROUNDUP(M103/Parâmetros!$C$5,0),ROUNDDOWN(M103/Parâmetros!$C$5,0)))</f>
        <v/>
      </c>
      <c r="O103" s="39" t="str">
        <f>IF(N103="","",N103*Parâmetros!$C$6)</f>
        <v/>
      </c>
      <c r="P103" s="40" t="str">
        <f t="shared" si="24"/>
        <v/>
      </c>
      <c r="Q103" s="32"/>
    </row>
    <row r="104" spans="1:17" ht="15" customHeight="1" x14ac:dyDescent="0.2">
      <c r="A104" s="43"/>
      <c r="B104" s="43"/>
      <c r="C104" s="32"/>
      <c r="D104" s="32"/>
      <c r="E104" s="58" t="str">
        <f>IF(tbAvaliacaoSLA[[#This Row],[Competência]]="","",DAY(EOMONTH(tbAvaliacaoSLA[[#This Row],[Competência]],0))*24)</f>
        <v/>
      </c>
      <c r="F104" s="34"/>
      <c r="G104" s="34">
        <v>0</v>
      </c>
      <c r="H104" s="35" t="str">
        <f t="shared" si="20"/>
        <v/>
      </c>
      <c r="I104" s="36" t="str">
        <f t="shared" si="19"/>
        <v/>
      </c>
      <c r="J104" s="36" t="str">
        <f t="shared" si="21"/>
        <v/>
      </c>
      <c r="K104" s="38" t="str">
        <f t="shared" si="22"/>
        <v/>
      </c>
      <c r="L104" s="38" t="str">
        <f>IF(tbAvaliacaoSLA[[#This Row],[Competência]]="","",Parâmetros!$C$4)</f>
        <v/>
      </c>
      <c r="M104" s="38" t="str">
        <f t="shared" si="23"/>
        <v/>
      </c>
      <c r="N104" s="39" t="str">
        <f>IF(M104="","",IF(Parâmetros!$C$7="INICIADA",ROUNDUP(M104/Parâmetros!$C$5,0),ROUNDDOWN(M104/Parâmetros!$C$5,0)))</f>
        <v/>
      </c>
      <c r="O104" s="39" t="str">
        <f>IF(N104="","",N104*Parâmetros!$C$6)</f>
        <v/>
      </c>
      <c r="P104" s="40" t="str">
        <f t="shared" si="24"/>
        <v/>
      </c>
      <c r="Q104" s="32"/>
    </row>
    <row r="105" spans="1:17" ht="15" customHeight="1" x14ac:dyDescent="0.2">
      <c r="A105" s="43"/>
      <c r="B105" s="43"/>
      <c r="C105" s="32"/>
      <c r="D105" s="32"/>
      <c r="E105" s="58" t="str">
        <f>IF(tbAvaliacaoSLA[[#This Row],[Competência]]="","",DAY(EOMONTH(tbAvaliacaoSLA[[#This Row],[Competência]],0))*24)</f>
        <v/>
      </c>
      <c r="F105" s="34"/>
      <c r="G105" s="34">
        <v>0</v>
      </c>
      <c r="H105" s="35" t="str">
        <f t="shared" si="20"/>
        <v/>
      </c>
      <c r="I105" s="36" t="str">
        <f t="shared" si="19"/>
        <v/>
      </c>
      <c r="J105" s="36" t="str">
        <f t="shared" si="21"/>
        <v/>
      </c>
      <c r="K105" s="38" t="str">
        <f t="shared" si="22"/>
        <v/>
      </c>
      <c r="L105" s="38" t="str">
        <f>IF(tbAvaliacaoSLA[[#This Row],[Competência]]="","",Parâmetros!$C$4)</f>
        <v/>
      </c>
      <c r="M105" s="38" t="str">
        <f t="shared" si="23"/>
        <v/>
      </c>
      <c r="N105" s="39" t="str">
        <f>IF(M105="","",IF(Parâmetros!$C$7="INICIADA",ROUNDUP(M105/Parâmetros!$C$5,0),ROUNDDOWN(M105/Parâmetros!$C$5,0)))</f>
        <v/>
      </c>
      <c r="O105" s="39" t="str">
        <f>IF(N105="","",N105*Parâmetros!$C$6)</f>
        <v/>
      </c>
      <c r="P105" s="40" t="str">
        <f t="shared" si="24"/>
        <v/>
      </c>
      <c r="Q105" s="32"/>
    </row>
    <row r="106" spans="1:17" ht="15" customHeight="1" x14ac:dyDescent="0.2">
      <c r="A106" s="43"/>
      <c r="B106" s="43"/>
      <c r="C106" s="32"/>
      <c r="D106" s="32"/>
      <c r="E106" s="58" t="str">
        <f>IF(tbAvaliacaoSLA[[#This Row],[Competência]]="","",DAY(EOMONTH(tbAvaliacaoSLA[[#This Row],[Competência]],0))*24)</f>
        <v/>
      </c>
      <c r="F106" s="34"/>
      <c r="G106" s="34">
        <v>0</v>
      </c>
      <c r="H106" s="35" t="str">
        <f t="shared" si="20"/>
        <v/>
      </c>
      <c r="I106" s="36" t="str">
        <f t="shared" si="19"/>
        <v/>
      </c>
      <c r="J106" s="36" t="str">
        <f t="shared" si="21"/>
        <v/>
      </c>
      <c r="K106" s="38" t="str">
        <f t="shared" si="22"/>
        <v/>
      </c>
      <c r="L106" s="38" t="str">
        <f>IF(tbAvaliacaoSLA[[#This Row],[Competência]]="","",Parâmetros!$C$4)</f>
        <v/>
      </c>
      <c r="M106" s="38" t="str">
        <f t="shared" si="23"/>
        <v/>
      </c>
      <c r="N106" s="39" t="str">
        <f>IF(M106="","",IF(Parâmetros!$C$7="INICIADA",ROUNDUP(M106/Parâmetros!$C$5,0),ROUNDDOWN(M106/Parâmetros!$C$5,0)))</f>
        <v/>
      </c>
      <c r="O106" s="39" t="str">
        <f>IF(N106="","",N106*Parâmetros!$C$6)</f>
        <v/>
      </c>
      <c r="P106" s="40" t="str">
        <f t="shared" si="24"/>
        <v/>
      </c>
      <c r="Q106" s="32"/>
    </row>
    <row r="107" spans="1:17" ht="15" customHeight="1" x14ac:dyDescent="0.2">
      <c r="A107" s="43"/>
      <c r="B107" s="43"/>
      <c r="C107" s="32"/>
      <c r="D107" s="32"/>
      <c r="E107" s="58" t="str">
        <f>IF(tbAvaliacaoSLA[[#This Row],[Competência]]="","",DAY(EOMONTH(tbAvaliacaoSLA[[#This Row],[Competência]],0))*24)</f>
        <v/>
      </c>
      <c r="F107" s="34"/>
      <c r="G107" s="34">
        <v>0</v>
      </c>
      <c r="H107" s="35" t="str">
        <f t="shared" si="20"/>
        <v/>
      </c>
      <c r="I107" s="36" t="str">
        <f t="shared" si="19"/>
        <v/>
      </c>
      <c r="J107" s="36" t="str">
        <f t="shared" si="21"/>
        <v/>
      </c>
      <c r="K107" s="38" t="str">
        <f t="shared" si="22"/>
        <v/>
      </c>
      <c r="L107" s="38" t="str">
        <f>IF(tbAvaliacaoSLA[[#This Row],[Competência]]="","",Parâmetros!$C$4)</f>
        <v/>
      </c>
      <c r="M107" s="38" t="str">
        <f t="shared" si="23"/>
        <v/>
      </c>
      <c r="N107" s="39" t="str">
        <f>IF(M107="","",IF(Parâmetros!$C$7="INICIADA",ROUNDUP(M107/Parâmetros!$C$5,0),ROUNDDOWN(M107/Parâmetros!$C$5,0)))</f>
        <v/>
      </c>
      <c r="O107" s="39" t="str">
        <f>IF(N107="","",N107*Parâmetros!$C$6)</f>
        <v/>
      </c>
      <c r="P107" s="40" t="str">
        <f t="shared" si="24"/>
        <v/>
      </c>
      <c r="Q107" s="32"/>
    </row>
    <row r="108" spans="1:17" ht="15" customHeight="1" x14ac:dyDescent="0.2">
      <c r="A108" s="43"/>
      <c r="B108" s="43"/>
      <c r="C108" s="32"/>
      <c r="D108" s="32"/>
      <c r="E108" s="58" t="str">
        <f>IF(tbAvaliacaoSLA[[#This Row],[Competência]]="","",DAY(EOMONTH(tbAvaliacaoSLA[[#This Row],[Competência]],0))*24)</f>
        <v/>
      </c>
      <c r="F108" s="34"/>
      <c r="G108" s="34">
        <v>0</v>
      </c>
      <c r="H108" s="35" t="str">
        <f t="shared" si="20"/>
        <v/>
      </c>
      <c r="I108" s="36" t="str">
        <f t="shared" si="19"/>
        <v/>
      </c>
      <c r="J108" s="36" t="str">
        <f t="shared" si="21"/>
        <v/>
      </c>
      <c r="K108" s="38" t="str">
        <f t="shared" si="22"/>
        <v/>
      </c>
      <c r="L108" s="38" t="str">
        <f>IF(tbAvaliacaoSLA[[#This Row],[Competência]]="","",Parâmetros!$C$4)</f>
        <v/>
      </c>
      <c r="M108" s="38" t="str">
        <f t="shared" si="23"/>
        <v/>
      </c>
      <c r="N108" s="39" t="str">
        <f>IF(M108="","",IF(Parâmetros!$C$7="INICIADA",ROUNDUP(M108/Parâmetros!$C$5,0),ROUNDDOWN(M108/Parâmetros!$C$5,0)))</f>
        <v/>
      </c>
      <c r="O108" s="39" t="str">
        <f>IF(N108="","",N108*Parâmetros!$C$6)</f>
        <v/>
      </c>
      <c r="P108" s="40" t="str">
        <f t="shared" si="24"/>
        <v/>
      </c>
      <c r="Q108" s="32"/>
    </row>
    <row r="109" spans="1:17" ht="15" customHeight="1" x14ac:dyDescent="0.2">
      <c r="A109" s="43"/>
      <c r="B109" s="43"/>
      <c r="C109" s="32"/>
      <c r="D109" s="32"/>
      <c r="E109" s="58" t="str">
        <f>IF(tbAvaliacaoSLA[[#This Row],[Competência]]="","",DAY(EOMONTH(tbAvaliacaoSLA[[#This Row],[Competência]],0))*24)</f>
        <v/>
      </c>
      <c r="F109" s="34"/>
      <c r="G109" s="34">
        <v>0</v>
      </c>
      <c r="H109" s="35" t="str">
        <f t="shared" si="20"/>
        <v/>
      </c>
      <c r="I109" s="36" t="str">
        <f t="shared" si="19"/>
        <v/>
      </c>
      <c r="J109" s="36" t="str">
        <f t="shared" si="21"/>
        <v/>
      </c>
      <c r="K109" s="38" t="str">
        <f t="shared" si="22"/>
        <v/>
      </c>
      <c r="L109" s="38" t="str">
        <f>IF(tbAvaliacaoSLA[[#This Row],[Competência]]="","",Parâmetros!$C$4)</f>
        <v/>
      </c>
      <c r="M109" s="38" t="str">
        <f t="shared" si="23"/>
        <v/>
      </c>
      <c r="N109" s="39" t="str">
        <f>IF(M109="","",IF(Parâmetros!$C$7="INICIADA",ROUNDUP(M109/Parâmetros!$C$5,0),ROUNDDOWN(M109/Parâmetros!$C$5,0)))</f>
        <v/>
      </c>
      <c r="O109" s="39" t="str">
        <f>IF(N109="","",N109*Parâmetros!$C$6)</f>
        <v/>
      </c>
      <c r="P109" s="40" t="str">
        <f t="shared" si="24"/>
        <v/>
      </c>
      <c r="Q109" s="32"/>
    </row>
    <row r="110" spans="1:17" ht="15" customHeight="1" x14ac:dyDescent="0.2">
      <c r="A110" s="43"/>
      <c r="B110" s="43"/>
      <c r="C110" s="32"/>
      <c r="D110" s="32"/>
      <c r="E110" s="58" t="str">
        <f>IF(tbAvaliacaoSLA[[#This Row],[Competência]]="","",DAY(EOMONTH(tbAvaliacaoSLA[[#This Row],[Competência]],0))*24)</f>
        <v/>
      </c>
      <c r="F110" s="34"/>
      <c r="G110" s="34">
        <v>0</v>
      </c>
      <c r="H110" s="35" t="str">
        <f t="shared" si="20"/>
        <v/>
      </c>
      <c r="I110" s="36" t="str">
        <f t="shared" si="19"/>
        <v/>
      </c>
      <c r="J110" s="36" t="str">
        <f t="shared" si="21"/>
        <v/>
      </c>
      <c r="K110" s="38" t="str">
        <f t="shared" si="22"/>
        <v/>
      </c>
      <c r="L110" s="38" t="str">
        <f>IF(tbAvaliacaoSLA[[#This Row],[Competência]]="","",Parâmetros!$C$4)</f>
        <v/>
      </c>
      <c r="M110" s="38" t="str">
        <f t="shared" si="23"/>
        <v/>
      </c>
      <c r="N110" s="39" t="str">
        <f>IF(M110="","",IF(Parâmetros!$C$7="INICIADA",ROUNDUP(M110/Parâmetros!$C$5,0),ROUNDDOWN(M110/Parâmetros!$C$5,0)))</f>
        <v/>
      </c>
      <c r="O110" s="39" t="str">
        <f>IF(N110="","",N110*Parâmetros!$C$6)</f>
        <v/>
      </c>
      <c r="P110" s="40" t="str">
        <f t="shared" si="24"/>
        <v/>
      </c>
      <c r="Q110" s="32"/>
    </row>
    <row r="111" spans="1:17" ht="15" customHeight="1" x14ac:dyDescent="0.2">
      <c r="A111" s="43"/>
      <c r="B111" s="43"/>
      <c r="C111" s="32"/>
      <c r="D111" s="32"/>
      <c r="E111" s="58" t="str">
        <f>IF(tbAvaliacaoSLA[[#This Row],[Competência]]="","",DAY(EOMONTH(tbAvaliacaoSLA[[#This Row],[Competência]],0))*24)</f>
        <v/>
      </c>
      <c r="F111" s="34"/>
      <c r="G111" s="34">
        <v>0</v>
      </c>
      <c r="H111" s="35" t="str">
        <f t="shared" si="20"/>
        <v/>
      </c>
      <c r="I111" s="36" t="str">
        <f t="shared" si="19"/>
        <v/>
      </c>
      <c r="J111" s="36" t="str">
        <f t="shared" si="21"/>
        <v/>
      </c>
      <c r="K111" s="38" t="str">
        <f t="shared" si="22"/>
        <v/>
      </c>
      <c r="L111" s="38" t="str">
        <f>IF(tbAvaliacaoSLA[[#This Row],[Competência]]="","",Parâmetros!$C$4)</f>
        <v/>
      </c>
      <c r="M111" s="38" t="str">
        <f t="shared" si="23"/>
        <v/>
      </c>
      <c r="N111" s="39" t="str">
        <f>IF(M111="","",IF(Parâmetros!$C$7="INICIADA",ROUNDUP(M111/Parâmetros!$C$5,0),ROUNDDOWN(M111/Parâmetros!$C$5,0)))</f>
        <v/>
      </c>
      <c r="O111" s="39" t="str">
        <f>IF(N111="","",N111*Parâmetros!$C$6)</f>
        <v/>
      </c>
      <c r="P111" s="40" t="str">
        <f t="shared" si="24"/>
        <v/>
      </c>
      <c r="Q111" s="32"/>
    </row>
    <row r="112" spans="1:17" ht="15" customHeight="1" x14ac:dyDescent="0.2">
      <c r="A112" s="43"/>
      <c r="B112" s="43"/>
      <c r="C112" s="32"/>
      <c r="D112" s="32"/>
      <c r="E112" s="58" t="str">
        <f>IF(tbAvaliacaoSLA[[#This Row],[Competência]]="","",DAY(EOMONTH(tbAvaliacaoSLA[[#This Row],[Competência]],0))*24)</f>
        <v/>
      </c>
      <c r="F112" s="34"/>
      <c r="G112" s="34">
        <v>0</v>
      </c>
      <c r="H112" s="35" t="str">
        <f t="shared" si="20"/>
        <v/>
      </c>
      <c r="I112" s="36" t="str">
        <f t="shared" si="19"/>
        <v/>
      </c>
      <c r="J112" s="36" t="str">
        <f t="shared" si="21"/>
        <v/>
      </c>
      <c r="K112" s="38" t="str">
        <f t="shared" si="22"/>
        <v/>
      </c>
      <c r="L112" s="38" t="str">
        <f>IF(tbAvaliacaoSLA[[#This Row],[Competência]]="","",Parâmetros!$C$4)</f>
        <v/>
      </c>
      <c r="M112" s="38" t="str">
        <f t="shared" si="23"/>
        <v/>
      </c>
      <c r="N112" s="39" t="str">
        <f>IF(M112="","",IF(Parâmetros!$C$7="INICIADA",ROUNDUP(M112/Parâmetros!$C$5,0),ROUNDDOWN(M112/Parâmetros!$C$5,0)))</f>
        <v/>
      </c>
      <c r="O112" s="39" t="str">
        <f>IF(N112="","",N112*Parâmetros!$C$6)</f>
        <v/>
      </c>
      <c r="P112" s="40" t="str">
        <f t="shared" si="24"/>
        <v/>
      </c>
      <c r="Q112" s="32"/>
    </row>
    <row r="113" spans="1:17" ht="15" customHeight="1" x14ac:dyDescent="0.2">
      <c r="A113" s="43"/>
      <c r="B113" s="43"/>
      <c r="C113" s="32"/>
      <c r="D113" s="32"/>
      <c r="E113" s="58" t="str">
        <f>IF(tbAvaliacaoSLA[[#This Row],[Competência]]="","",DAY(EOMONTH(tbAvaliacaoSLA[[#This Row],[Competência]],0))*24)</f>
        <v/>
      </c>
      <c r="F113" s="34"/>
      <c r="G113" s="34">
        <v>0</v>
      </c>
      <c r="H113" s="35" t="str">
        <f t="shared" si="20"/>
        <v/>
      </c>
      <c r="I113" s="36" t="str">
        <f t="shared" si="19"/>
        <v/>
      </c>
      <c r="J113" s="36" t="str">
        <f t="shared" si="21"/>
        <v/>
      </c>
      <c r="K113" s="38" t="str">
        <f t="shared" si="22"/>
        <v/>
      </c>
      <c r="L113" s="38" t="str">
        <f>IF(tbAvaliacaoSLA[[#This Row],[Competência]]="","",Parâmetros!$C$4)</f>
        <v/>
      </c>
      <c r="M113" s="38" t="str">
        <f t="shared" si="23"/>
        <v/>
      </c>
      <c r="N113" s="39" t="str">
        <f>IF(M113="","",IF(Parâmetros!$C$7="INICIADA",ROUNDUP(M113/Parâmetros!$C$5,0),ROUNDDOWN(M113/Parâmetros!$C$5,0)))</f>
        <v/>
      </c>
      <c r="O113" s="39" t="str">
        <f>IF(N113="","",N113*Parâmetros!$C$6)</f>
        <v/>
      </c>
      <c r="P113" s="40" t="str">
        <f t="shared" si="24"/>
        <v/>
      </c>
      <c r="Q113" s="32"/>
    </row>
    <row r="114" spans="1:17" ht="15" customHeight="1" x14ac:dyDescent="0.2">
      <c r="A114" s="43"/>
      <c r="B114" s="43"/>
      <c r="C114" s="32"/>
      <c r="D114" s="32"/>
      <c r="E114" s="58" t="str">
        <f>IF(tbAvaliacaoSLA[[#This Row],[Competência]]="","",DAY(EOMONTH(tbAvaliacaoSLA[[#This Row],[Competência]],0))*24)</f>
        <v/>
      </c>
      <c r="F114" s="34"/>
      <c r="G114" s="34">
        <v>0</v>
      </c>
      <c r="H114" s="35" t="str">
        <f t="shared" si="20"/>
        <v/>
      </c>
      <c r="I114" s="36" t="str">
        <f t="shared" si="19"/>
        <v/>
      </c>
      <c r="J114" s="36" t="str">
        <f t="shared" si="21"/>
        <v/>
      </c>
      <c r="K114" s="38" t="str">
        <f t="shared" si="22"/>
        <v/>
      </c>
      <c r="L114" s="38" t="str">
        <f>IF(tbAvaliacaoSLA[[#This Row],[Competência]]="","",Parâmetros!$C$4)</f>
        <v/>
      </c>
      <c r="M114" s="38" t="str">
        <f t="shared" si="23"/>
        <v/>
      </c>
      <c r="N114" s="39" t="str">
        <f>IF(M114="","",IF(Parâmetros!$C$7="INICIADA",ROUNDUP(M114/Parâmetros!$C$5,0),ROUNDDOWN(M114/Parâmetros!$C$5,0)))</f>
        <v/>
      </c>
      <c r="O114" s="39" t="str">
        <f>IF(N114="","",N114*Parâmetros!$C$6)</f>
        <v/>
      </c>
      <c r="P114" s="40" t="str">
        <f t="shared" si="24"/>
        <v/>
      </c>
      <c r="Q114" s="32"/>
    </row>
    <row r="115" spans="1:17" ht="15" customHeight="1" x14ac:dyDescent="0.2">
      <c r="A115" s="43"/>
      <c r="B115" s="43"/>
      <c r="C115" s="32"/>
      <c r="D115" s="32"/>
      <c r="E115" s="58" t="str">
        <f>IF(tbAvaliacaoSLA[[#This Row],[Competência]]="","",DAY(EOMONTH(tbAvaliacaoSLA[[#This Row],[Competência]],0))*24)</f>
        <v/>
      </c>
      <c r="F115" s="34"/>
      <c r="G115" s="34">
        <v>0</v>
      </c>
      <c r="H115" s="35" t="str">
        <f t="shared" si="20"/>
        <v/>
      </c>
      <c r="I115" s="36" t="str">
        <f t="shared" si="19"/>
        <v/>
      </c>
      <c r="J115" s="36" t="str">
        <f t="shared" si="21"/>
        <v/>
      </c>
      <c r="K115" s="38" t="str">
        <f t="shared" si="22"/>
        <v/>
      </c>
      <c r="L115" s="38" t="str">
        <f>IF(tbAvaliacaoSLA[[#This Row],[Competência]]="","",Parâmetros!$C$4)</f>
        <v/>
      </c>
      <c r="M115" s="38" t="str">
        <f t="shared" si="23"/>
        <v/>
      </c>
      <c r="N115" s="39" t="str">
        <f>IF(M115="","",IF(Parâmetros!$C$7="INICIADA",ROUNDUP(M115/Parâmetros!$C$5,0),ROUNDDOWN(M115/Parâmetros!$C$5,0)))</f>
        <v/>
      </c>
      <c r="O115" s="39" t="str">
        <f>IF(N115="","",N115*Parâmetros!$C$6)</f>
        <v/>
      </c>
      <c r="P115" s="40" t="str">
        <f t="shared" si="24"/>
        <v/>
      </c>
      <c r="Q115" s="32"/>
    </row>
    <row r="116" spans="1:17" ht="15" customHeight="1" x14ac:dyDescent="0.2">
      <c r="A116" s="43"/>
      <c r="B116" s="43"/>
      <c r="C116" s="32"/>
      <c r="D116" s="32"/>
      <c r="E116" s="58" t="str">
        <f>IF(tbAvaliacaoSLA[[#This Row],[Competência]]="","",DAY(EOMONTH(tbAvaliacaoSLA[[#This Row],[Competência]],0))*24)</f>
        <v/>
      </c>
      <c r="F116" s="34"/>
      <c r="G116" s="34">
        <v>0</v>
      </c>
      <c r="H116" s="35" t="str">
        <f t="shared" si="20"/>
        <v/>
      </c>
      <c r="I116" s="36" t="str">
        <f t="shared" si="19"/>
        <v/>
      </c>
      <c r="J116" s="36" t="str">
        <f t="shared" si="21"/>
        <v/>
      </c>
      <c r="K116" s="38" t="str">
        <f t="shared" si="22"/>
        <v/>
      </c>
      <c r="L116" s="38" t="str">
        <f>IF(tbAvaliacaoSLA[[#This Row],[Competência]]="","",Parâmetros!$C$4)</f>
        <v/>
      </c>
      <c r="M116" s="38" t="str">
        <f t="shared" si="23"/>
        <v/>
      </c>
      <c r="N116" s="39" t="str">
        <f>IF(M116="","",IF(Parâmetros!$C$7="INICIADA",ROUNDUP(M116/Parâmetros!$C$5,0),ROUNDDOWN(M116/Parâmetros!$C$5,0)))</f>
        <v/>
      </c>
      <c r="O116" s="39" t="str">
        <f>IF(N116="","",N116*Parâmetros!$C$6)</f>
        <v/>
      </c>
      <c r="P116" s="40" t="str">
        <f t="shared" si="24"/>
        <v/>
      </c>
      <c r="Q116" s="32"/>
    </row>
    <row r="117" spans="1:17" ht="15" customHeight="1" x14ac:dyDescent="0.2">
      <c r="A117" s="43"/>
      <c r="B117" s="43"/>
      <c r="C117" s="32"/>
      <c r="D117" s="32"/>
      <c r="E117" s="58" t="str">
        <f>IF(tbAvaliacaoSLA[[#This Row],[Competência]]="","",DAY(EOMONTH(tbAvaliacaoSLA[[#This Row],[Competência]],0))*24)</f>
        <v/>
      </c>
      <c r="F117" s="34"/>
      <c r="G117" s="34">
        <v>0</v>
      </c>
      <c r="H117" s="35" t="str">
        <f t="shared" si="20"/>
        <v/>
      </c>
      <c r="I117" s="36" t="str">
        <f t="shared" si="19"/>
        <v/>
      </c>
      <c r="J117" s="36" t="str">
        <f t="shared" si="21"/>
        <v/>
      </c>
      <c r="K117" s="38" t="str">
        <f t="shared" si="22"/>
        <v/>
      </c>
      <c r="L117" s="38" t="str">
        <f>IF(tbAvaliacaoSLA[[#This Row],[Competência]]="","",Parâmetros!$C$4)</f>
        <v/>
      </c>
      <c r="M117" s="38" t="str">
        <f t="shared" si="23"/>
        <v/>
      </c>
      <c r="N117" s="39" t="str">
        <f>IF(M117="","",IF(Parâmetros!$C$7="INICIADA",ROUNDUP(M117/Parâmetros!$C$5,0),ROUNDDOWN(M117/Parâmetros!$C$5,0)))</f>
        <v/>
      </c>
      <c r="O117" s="39" t="str">
        <f>IF(N117="","",N117*Parâmetros!$C$6)</f>
        <v/>
      </c>
      <c r="P117" s="40" t="str">
        <f t="shared" si="24"/>
        <v/>
      </c>
      <c r="Q117" s="32"/>
    </row>
    <row r="118" spans="1:17" ht="15" customHeight="1" x14ac:dyDescent="0.2">
      <c r="A118" s="43"/>
      <c r="B118" s="43"/>
      <c r="C118" s="32"/>
      <c r="D118" s="32"/>
      <c r="E118" s="58" t="str">
        <f>IF(tbAvaliacaoSLA[[#This Row],[Competência]]="","",DAY(EOMONTH(tbAvaliacaoSLA[[#This Row],[Competência]],0))*24)</f>
        <v/>
      </c>
      <c r="F118" s="34"/>
      <c r="G118" s="34">
        <v>0</v>
      </c>
      <c r="H118" s="35" t="str">
        <f t="shared" si="20"/>
        <v/>
      </c>
      <c r="I118" s="36" t="str">
        <f t="shared" si="19"/>
        <v/>
      </c>
      <c r="J118" s="36" t="str">
        <f t="shared" si="21"/>
        <v/>
      </c>
      <c r="K118" s="38" t="str">
        <f t="shared" si="22"/>
        <v/>
      </c>
      <c r="L118" s="38" t="str">
        <f>IF(tbAvaliacaoSLA[[#This Row],[Competência]]="","",Parâmetros!$C$4)</f>
        <v/>
      </c>
      <c r="M118" s="38" t="str">
        <f t="shared" si="23"/>
        <v/>
      </c>
      <c r="N118" s="39" t="str">
        <f>IF(M118="","",IF(Parâmetros!$C$7="INICIADA",ROUNDUP(M118/Parâmetros!$C$5,0),ROUNDDOWN(M118/Parâmetros!$C$5,0)))</f>
        <v/>
      </c>
      <c r="O118" s="39" t="str">
        <f>IF(N118="","",N118*Parâmetros!$C$6)</f>
        <v/>
      </c>
      <c r="P118" s="40" t="str">
        <f t="shared" si="24"/>
        <v/>
      </c>
      <c r="Q118" s="32"/>
    </row>
    <row r="119" spans="1:17" ht="15" customHeight="1" x14ac:dyDescent="0.2">
      <c r="A119" s="43"/>
      <c r="B119" s="43"/>
      <c r="C119" s="32"/>
      <c r="D119" s="32"/>
      <c r="E119" s="59" t="str">
        <f>IF(tbAvaliacaoSLA[[#This Row],[Competência]]="","",DAY(EOMONTH(tbAvaliacaoSLA[[#This Row],[Competência]],0))*24)</f>
        <v/>
      </c>
      <c r="F119" s="34"/>
      <c r="G119" s="34">
        <v>0</v>
      </c>
      <c r="H119" s="35" t="str">
        <f t="shared" si="20"/>
        <v/>
      </c>
      <c r="I119" s="36" t="str">
        <f t="shared" si="19"/>
        <v/>
      </c>
      <c r="J119" s="36" t="str">
        <f t="shared" si="21"/>
        <v/>
      </c>
      <c r="K119" s="38" t="str">
        <f t="shared" si="22"/>
        <v/>
      </c>
      <c r="L119" s="38" t="str">
        <f>IF(tbAvaliacaoSLA[[#This Row],[Competência]]="","",Parâmetros!$C$4)</f>
        <v/>
      </c>
      <c r="M119" s="38" t="str">
        <f t="shared" si="23"/>
        <v/>
      </c>
      <c r="N119" s="39" t="str">
        <f>IF(M119="","",IF(Parâmetros!$C$7="INICIADA",ROUNDUP(M119/Parâmetros!$C$5,0),ROUNDDOWN(M119/Parâmetros!$C$5,0)))</f>
        <v/>
      </c>
      <c r="O119" s="39" t="str">
        <f>IF(N119="","",N119*Parâmetros!$C$6)</f>
        <v/>
      </c>
      <c r="P119" s="40" t="str">
        <f t="shared" si="24"/>
        <v/>
      </c>
      <c r="Q119" s="32"/>
    </row>
    <row r="120" spans="1:17" ht="15" customHeight="1" x14ac:dyDescent="0.2">
      <c r="A120" s="43"/>
      <c r="B120" s="43"/>
      <c r="C120" s="32"/>
      <c r="D120" s="32"/>
      <c r="E120" s="59" t="str">
        <f>IF(tbAvaliacaoSLA[[#This Row],[Competência]]="","",DAY(EOMONTH(tbAvaliacaoSLA[[#This Row],[Competência]],0))*24)</f>
        <v/>
      </c>
      <c r="F120" s="34"/>
      <c r="G120" s="34">
        <v>0</v>
      </c>
      <c r="H120" s="35" t="str">
        <f t="shared" si="20"/>
        <v/>
      </c>
      <c r="I120" s="36" t="str">
        <f t="shared" si="19"/>
        <v/>
      </c>
      <c r="J120" s="36" t="str">
        <f t="shared" si="21"/>
        <v/>
      </c>
      <c r="K120" s="38" t="str">
        <f t="shared" si="22"/>
        <v/>
      </c>
      <c r="L120" s="38" t="str">
        <f>IF(tbAvaliacaoSLA[[#This Row],[Competência]]="","",Parâmetros!$C$4)</f>
        <v/>
      </c>
      <c r="M120" s="38" t="str">
        <f t="shared" si="23"/>
        <v/>
      </c>
      <c r="N120" s="39" t="str">
        <f>IF(M120="","",IF(Parâmetros!$C$7="INICIADA",ROUNDUP(M120/Parâmetros!$C$5,0),ROUNDDOWN(M120/Parâmetros!$C$5,0)))</f>
        <v/>
      </c>
      <c r="O120" s="39" t="str">
        <f>IF(N120="","",N120*Parâmetros!$C$6)</f>
        <v/>
      </c>
      <c r="P120" s="40" t="str">
        <f t="shared" si="24"/>
        <v/>
      </c>
      <c r="Q120" s="32"/>
    </row>
    <row r="121" spans="1:17" ht="15" customHeight="1" x14ac:dyDescent="0.2">
      <c r="A121" s="43"/>
      <c r="B121" s="43"/>
      <c r="C121" s="32"/>
      <c r="D121" s="32"/>
      <c r="E121" s="59" t="str">
        <f>IF(tbAvaliacaoSLA[[#This Row],[Competência]]="","",DAY(EOMONTH(tbAvaliacaoSLA[[#This Row],[Competência]],0))*24)</f>
        <v/>
      </c>
      <c r="F121" s="34"/>
      <c r="G121" s="34">
        <v>0</v>
      </c>
      <c r="H121" s="35" t="str">
        <f t="shared" si="20"/>
        <v/>
      </c>
      <c r="I121" s="36" t="str">
        <f t="shared" si="19"/>
        <v/>
      </c>
      <c r="J121" s="36" t="str">
        <f t="shared" si="21"/>
        <v/>
      </c>
      <c r="K121" s="38" t="str">
        <f t="shared" si="22"/>
        <v/>
      </c>
      <c r="L121" s="38" t="str">
        <f>IF(tbAvaliacaoSLA[[#This Row],[Competência]]="","",Parâmetros!$C$4)</f>
        <v/>
      </c>
      <c r="M121" s="38" t="str">
        <f t="shared" si="23"/>
        <v/>
      </c>
      <c r="N121" s="39" t="str">
        <f>IF(M121="","",IF(Parâmetros!$C$7="INICIADA",ROUNDUP(M121/Parâmetros!$C$5,0),ROUNDDOWN(M121/Parâmetros!$C$5,0)))</f>
        <v/>
      </c>
      <c r="O121" s="39" t="str">
        <f>IF(N121="","",N121*Parâmetros!$C$6)</f>
        <v/>
      </c>
      <c r="P121" s="40" t="str">
        <f t="shared" si="24"/>
        <v/>
      </c>
      <c r="Q121" s="32"/>
    </row>
    <row r="122" spans="1:17" ht="15" customHeight="1" x14ac:dyDescent="0.2">
      <c r="A122" s="43"/>
      <c r="B122" s="43"/>
      <c r="C122" s="32"/>
      <c r="D122" s="32"/>
      <c r="E122" s="59" t="str">
        <f>IF(tbAvaliacaoSLA[[#This Row],[Competência]]="","",DAY(EOMONTH(tbAvaliacaoSLA[[#This Row],[Competência]],0))*24)</f>
        <v/>
      </c>
      <c r="F122" s="34"/>
      <c r="G122" s="34">
        <v>0</v>
      </c>
      <c r="H122" s="35" t="str">
        <f t="shared" si="20"/>
        <v/>
      </c>
      <c r="I122" s="36" t="str">
        <f t="shared" si="19"/>
        <v/>
      </c>
      <c r="J122" s="36" t="str">
        <f t="shared" si="21"/>
        <v/>
      </c>
      <c r="K122" s="38" t="str">
        <f t="shared" si="22"/>
        <v/>
      </c>
      <c r="L122" s="38" t="str">
        <f>IF(tbAvaliacaoSLA[[#This Row],[Competência]]="","",Parâmetros!$C$4)</f>
        <v/>
      </c>
      <c r="M122" s="38" t="str">
        <f t="shared" si="23"/>
        <v/>
      </c>
      <c r="N122" s="39" t="str">
        <f>IF(M122="","",IF(Parâmetros!$C$7="INICIADA",ROUNDUP(M122/Parâmetros!$C$5,0),ROUNDDOWN(M122/Parâmetros!$C$5,0)))</f>
        <v/>
      </c>
      <c r="O122" s="39" t="str">
        <f>IF(N122="","",N122*Parâmetros!$C$6)</f>
        <v/>
      </c>
      <c r="P122" s="40" t="str">
        <f t="shared" si="24"/>
        <v/>
      </c>
      <c r="Q122" s="32"/>
    </row>
    <row r="123" spans="1:17" ht="15" customHeight="1" x14ac:dyDescent="0.2">
      <c r="A123" s="43"/>
      <c r="B123" s="43"/>
      <c r="C123" s="32"/>
      <c r="D123" s="32"/>
      <c r="E123" s="59" t="str">
        <f>IF(tbAvaliacaoSLA[[#This Row],[Competência]]="","",DAY(EOMONTH(tbAvaliacaoSLA[[#This Row],[Competência]],0))*24)</f>
        <v/>
      </c>
      <c r="F123" s="34"/>
      <c r="G123" s="34">
        <v>0</v>
      </c>
      <c r="H123" s="35" t="str">
        <f t="shared" si="20"/>
        <v/>
      </c>
      <c r="I123" s="36" t="str">
        <f t="shared" si="19"/>
        <v/>
      </c>
      <c r="J123" s="36" t="str">
        <f t="shared" si="21"/>
        <v/>
      </c>
      <c r="K123" s="38" t="str">
        <f t="shared" si="22"/>
        <v/>
      </c>
      <c r="L123" s="38" t="str">
        <f>IF(tbAvaliacaoSLA[[#This Row],[Competência]]="","",Parâmetros!$C$4)</f>
        <v/>
      </c>
      <c r="M123" s="38" t="str">
        <f t="shared" si="23"/>
        <v/>
      </c>
      <c r="N123" s="39" t="str">
        <f>IF(M123="","",IF(Parâmetros!$C$7="INICIADA",ROUNDUP(M123/Parâmetros!$C$5,0),ROUNDDOWN(M123/Parâmetros!$C$5,0)))</f>
        <v/>
      </c>
      <c r="O123" s="39" t="str">
        <f>IF(N123="","",N123*Parâmetros!$C$6)</f>
        <v/>
      </c>
      <c r="P123" s="40" t="str">
        <f t="shared" si="24"/>
        <v/>
      </c>
      <c r="Q123" s="32"/>
    </row>
    <row r="124" spans="1:17" ht="14.25" customHeight="1" x14ac:dyDescent="0.2">
      <c r="A124" s="44"/>
      <c r="B124" s="44"/>
      <c r="C124" s="45"/>
      <c r="D124" s="45"/>
      <c r="E124" s="60" t="str">
        <f>IF(tbAvaliacaoSLA[[#This Row],[Competência]]="","",DAY(EOMONTH(tbAvaliacaoSLA[[#This Row],[Competência]],0))*24)</f>
        <v/>
      </c>
      <c r="F124" s="45"/>
      <c r="G124" s="46">
        <v>0</v>
      </c>
      <c r="H124" s="35" t="str">
        <f t="shared" si="20"/>
        <v/>
      </c>
      <c r="I124" s="47"/>
      <c r="J124" s="47"/>
      <c r="K124" s="47"/>
      <c r="L124" s="38" t="str">
        <f>IF(tbAvaliacaoSLA[[#This Row],[Competência]]="","",Parâmetros!$C$4)</f>
        <v/>
      </c>
      <c r="M124" s="47"/>
      <c r="N124" s="47"/>
      <c r="O124" s="47"/>
      <c r="P124" s="47"/>
      <c r="Q124" s="45"/>
    </row>
  </sheetData>
  <mergeCells count="2">
    <mergeCell ref="A2:P2"/>
    <mergeCell ref="K1:Q1"/>
  </mergeCells>
  <conditionalFormatting sqref="P5:P124">
    <cfRule type="expression" dxfId="5" priority="2">
      <formula>$P5="ATENDIDO"</formula>
    </cfRule>
    <cfRule type="expression" dxfId="4" priority="3">
      <formula>$P5="NÃO ATENDIDO"</formula>
    </cfRule>
    <cfRule type="expression" dxfId="3" priority="4">
      <formula>$P5="REVISAR DADOS"</formula>
    </cfRule>
  </conditionalFormatting>
  <dataValidations count="3">
    <dataValidation type="decimal" operator="greaterThanOrEqual" allowBlank="1" showErrorMessage="1" errorTitle="Valor inválido" error="Informe um número maior ou igual a zero." sqref="E5:H124" xr:uid="{00000000-0002-0000-0000-000000000000}">
      <formula1>0</formula1>
      <formula2>0</formula2>
    </dataValidation>
    <dataValidation type="date" allowBlank="1" sqref="B5:B124 A5 A25:A124" xr:uid="{00000000-0002-0000-0000-000001000000}">
      <formula1>DATE(2000,1,1)</formula1>
      <formula2>DATE(2100,12,31)</formula2>
    </dataValidation>
    <dataValidation type="date" sqref="A6:A24" xr:uid="{F88DAB34-60E4-4310-8B93-3FBF7296005A}">
      <formula1>DATE(2000,1,1)</formula1>
      <formula2>DATE(2100,12,31)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10"/>
  <sheetViews>
    <sheetView showGridLines="0" zoomScale="105" zoomScaleNormal="105" workbookViewId="0">
      <selection activeCell="M11" sqref="M11"/>
    </sheetView>
  </sheetViews>
  <sheetFormatPr defaultColWidth="8.7109375" defaultRowHeight="14.25" x14ac:dyDescent="0.2"/>
  <cols>
    <col min="1" max="1" width="10" style="20" customWidth="1"/>
    <col min="2" max="2" width="19.85546875" style="20" bestFit="1" customWidth="1"/>
    <col min="3" max="3" width="8.42578125" style="20" bestFit="1" customWidth="1"/>
    <col min="4" max="4" width="5.42578125" style="20" customWidth="1"/>
    <col min="5" max="5" width="12.28515625" style="20" bestFit="1" customWidth="1"/>
    <col min="6" max="16384" width="8.7109375" style="20"/>
  </cols>
  <sheetData>
    <row r="1" spans="2:17" s="1" customFormat="1" ht="19.5" customHeight="1" x14ac:dyDescent="0.2">
      <c r="B1" s="2" t="s">
        <v>0</v>
      </c>
      <c r="C1" s="2"/>
      <c r="D1" s="3"/>
      <c r="E1" s="4"/>
      <c r="F1" s="3"/>
      <c r="G1" s="3"/>
      <c r="H1" s="3"/>
      <c r="I1" s="3"/>
      <c r="J1" s="3"/>
      <c r="K1" s="57" t="str">
        <f>"Período de vigência " &amp; TEXT('Avaliação SLA'!A5-DAY('Avaliação SLA'!A5)+1, "dd/mm/aaaa") &amp; " a " &amp; TEXT(EOMONTH('Avaliação SLA'!A5,0), "dd/mm/aaaa")</f>
        <v>Período de vigência 01/07/2026 a 31/07/2026</v>
      </c>
      <c r="L1" s="57"/>
      <c r="M1" s="57"/>
      <c r="N1" s="57"/>
      <c r="O1" s="57"/>
      <c r="P1" s="57"/>
      <c r="Q1" s="57"/>
    </row>
    <row r="3" spans="2:17" s="50" customFormat="1" ht="24" customHeight="1" x14ac:dyDescent="0.2">
      <c r="B3" s="49" t="s">
        <v>62</v>
      </c>
      <c r="C3" s="49" t="s">
        <v>36</v>
      </c>
      <c r="E3" s="51" t="s">
        <v>63</v>
      </c>
      <c r="F3" s="51" t="s">
        <v>64</v>
      </c>
    </row>
    <row r="4" spans="2:17" s="50" customFormat="1" ht="15" customHeight="1" x14ac:dyDescent="0.2">
      <c r="B4" s="52" t="s">
        <v>65</v>
      </c>
      <c r="C4" s="53">
        <f>COUNT('Avaliação SLA'!K5:K124)</f>
        <v>15</v>
      </c>
      <c r="E4" s="54" t="s">
        <v>66</v>
      </c>
      <c r="F4" s="54">
        <f>C5</f>
        <v>11</v>
      </c>
    </row>
    <row r="5" spans="2:17" s="50" customFormat="1" ht="15" customHeight="1" x14ac:dyDescent="0.2">
      <c r="B5" s="52" t="s">
        <v>67</v>
      </c>
      <c r="C5" s="53">
        <f>COUNTIF('Avaliação SLA'!P5:P124,"ATENDIDO")</f>
        <v>11</v>
      </c>
      <c r="E5" s="54" t="s">
        <v>68</v>
      </c>
      <c r="F5" s="54">
        <f>C6</f>
        <v>4</v>
      </c>
    </row>
    <row r="6" spans="2:17" s="50" customFormat="1" ht="15" customHeight="1" x14ac:dyDescent="0.2">
      <c r="B6" s="52" t="s">
        <v>69</v>
      </c>
      <c r="C6" s="53">
        <f>COUNTIF('Avaliação SLA'!P5:P124,"NÃO ATENDIDO")</f>
        <v>4</v>
      </c>
      <c r="E6" s="54" t="s">
        <v>70</v>
      </c>
      <c r="F6" s="54">
        <f>C7</f>
        <v>0</v>
      </c>
    </row>
    <row r="7" spans="2:17" s="50" customFormat="1" ht="15" customHeight="1" x14ac:dyDescent="0.2">
      <c r="B7" s="52" t="s">
        <v>71</v>
      </c>
      <c r="C7" s="53">
        <f>COUNTIF('Avaliação SLA'!P5:P124,"REVISAR DADOS")</f>
        <v>0</v>
      </c>
    </row>
    <row r="8" spans="2:17" s="50" customFormat="1" ht="15" customHeight="1" x14ac:dyDescent="0.2">
      <c r="B8" s="52" t="s">
        <v>72</v>
      </c>
      <c r="C8" s="55">
        <f>IFERROR(AVERAGE('Avaliação SLA'!K5:K124),"")</f>
        <v>0.98987333333333338</v>
      </c>
    </row>
    <row r="9" spans="2:17" s="50" customFormat="1" ht="15" customHeight="1" x14ac:dyDescent="0.2">
      <c r="B9" s="52" t="s">
        <v>73</v>
      </c>
      <c r="C9" s="56">
        <f>SUM('Avaliação SLA'!O5:O124)</f>
        <v>131000</v>
      </c>
    </row>
    <row r="10" spans="2:17" s="50" customFormat="1" x14ac:dyDescent="0.2"/>
  </sheetData>
  <mergeCells count="1">
    <mergeCell ref="K1:Q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Parâmetros</vt:lpstr>
      <vt:lpstr>Avaliação SLA</vt:lpstr>
      <vt:lpstr>Resumo</vt:lpstr>
      <vt:lpstr>'Avaliação SLA'!Titulos_de_impressao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Antonio Carvalho Monteiro de Oliveira</dc:creator>
  <cp:keywords/>
  <dc:description/>
  <cp:lastModifiedBy>João Antonio Carvalho Monteiro de Oliveira</cp:lastModifiedBy>
  <cp:revision>0</cp:revision>
  <dcterms:created xsi:type="dcterms:W3CDTF">2026-08-24T17:58:39Z</dcterms:created>
  <dcterms:modified xsi:type="dcterms:W3CDTF">2026-08-24T20:06:49Z</dcterms:modified>
  <cp:category/>
  <cp:contentStatus/>
</cp:coreProperties>
</file>